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6dcf59372643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ário" sheetId="1" r:id="R03940a38bbff4253"/>
    <x:sheet xmlns:r="http://schemas.openxmlformats.org/officeDocument/2006/relationships" name="Resumo" sheetId="2" r:id="Rf10c2fa8e8494153"/>
    <x:sheet xmlns:r="http://schemas.openxmlformats.org/officeDocument/2006/relationships" name="Parâmetros" sheetId="3" r:id="R3607ae81eec14221"/>
    <x:sheet xmlns:r="http://schemas.openxmlformats.org/officeDocument/2006/relationships" name="Parametros" sheetId="4" r:id="R1ea12117df3e4a8f"/>
    <x:sheet xmlns:r="http://schemas.openxmlformats.org/officeDocument/2006/relationships" name="Calculos" sheetId="5" r:id="Rbdd3e3ecaa4046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0 &quot;gp&quot;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2">
    <x:border/>
    <x:border/>
  </x:borders>
  <x:cellStyleXfs count="1">
    <x:xf numFmtId="0" fontId="0" fillId="0" borderId="0"/>
  </x:cellStyleXfs>
  <x:cellXfs count="4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3" fillId="4" borderId="0" xfId="0" applyNumberFormat="1" applyFont="1" applyFill="1" applyBorder="1"/>
    <x:xf numFmtId="202" fontId="0" fillId="4" borderId="0" xfId="0" applyNumberFormat="1" applyFont="1" applyFill="1" applyBorder="1"/>
    <x:xf numFmtId="202" fontId="3" fillId="4" borderId="0" xfId="0" applyNumberFormat="1" applyFont="1" applyFill="1" applyBorder="1"/>
    <x:xf numFmtId="0" fontId="3" fillId="4" borderId="1" xfId="0" applyNumberFormat="1" applyFont="1" applyFill="1" applyBorder="1"/>
    <x:xf numFmtId="202" fontId="0" fillId="4" borderId="1" xfId="0" applyNumberFormat="1" applyFont="1" applyFill="1" applyBorder="1"/>
    <x:xf numFmtId="202" fontId="3" fillId="4" borderId="1" xfId="0" applyNumberFormat="1" applyFont="1" applyFill="1" applyBorder="1"/>
  </x:cellXfs>
  <x:cellStyles count="1">
    <x:cellStyle name="Normal" xfId="0"/>
  </x:cellStyles>
  <x:dxfs count="2">
    <x:dxf>
      <x:fill>
        <x:patternFill>
          <x:bgColor rgb="FFE2F0D9"/>
        </x:patternFill>
      </x:fill>
    </x:dxf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90e7127f144480" /><Relationship Type="http://schemas.openxmlformats.org/officeDocument/2006/relationships/theme" Target="/xl/theme/theme1.xml" Id="R47aeef549a5848fa" /><Relationship Type="http://schemas.openxmlformats.org/officeDocument/2006/relationships/sharedStrings" Target="/xl/sharedStrings.xml" Id="Red90920a9b544a20" /><Relationship Type="http://schemas.openxmlformats.org/officeDocument/2006/relationships/worksheet" Target="/xl/worksheets/sheet1.xml" Id="R03940a38bbff4253" /><Relationship Type="http://schemas.openxmlformats.org/officeDocument/2006/relationships/worksheet" Target="/xl/worksheets/sheet2.xml" Id="Rf10c2fa8e8494153" /><Relationship Type="http://schemas.openxmlformats.org/officeDocument/2006/relationships/worksheet" Target="/xl/worksheets/sheet3.xml" Id="R3607ae81eec14221" /><Relationship Type="http://schemas.openxmlformats.org/officeDocument/2006/relationships/worksheet" Target="/xl/worksheets/sheet4.xml" Id="R1ea12117df3e4a8f" /><Relationship Type="http://schemas.openxmlformats.org/officeDocument/2006/relationships/worksheet" Target="/xl/worksheets/sheet5.xml" Id="Rbdd3e3ecaa40466b" /></Relationships>
</file>

<file path=xl/tables/table1.xml><?xml version="1.0" encoding="utf-8"?>
<x:table xmlns:x="http://schemas.openxmlformats.org/spreadsheetml/2006/main" id="1" name="InventarioTable" displayName="InventarioTable" ref="A1:L104" headerRowCount="1">
  <x:tableColumns count="12">
    <x:tableColumn id="1" name="Item"/>
    <x:tableColumn id="2" name="Origem"/>
    <x:tableColumn id="3" name="Qtd."/>
    <x:tableColumn id="4" name="Valor real (gp)"/>
    <x:tableColumn id="5" name="Valor estimado (gp)"/>
    <x:tableColumn id="6" name="Como foi estimado"/>
    <x:tableColumn id="7" name="Categoria"/>
    <x:tableColumn id="8" name="Vender?"/>
    <x:tableColumn id="9" name="Valor base (gp)"/>
    <x:tableColumn id="10" name="Bônus aplicado"/>
    <x:tableColumn id="11" name="Venda líquida (gp)"/>
    <x:tableColumn id="12" name="Observaçã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9d72334837143eb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7" hidden="0" customWidth="1"/>
    <x:col min="4" max="4" width="14" hidden="0" customWidth="1"/>
    <x:col min="5" max="5" width="17" hidden="0" customWidth="1"/>
    <x:col min="6" max="6" width="46" hidden="0" customWidth="1"/>
    <x:col min="7" max="7" width="16" hidden="0" customWidth="1"/>
    <x:col min="8" max="8" width="11" hidden="0" customWidth="1"/>
    <x:col min="9" max="9" width="15" hidden="0" customWidth="1"/>
    <x:col min="10" max="10" width="14" hidden="0" customWidth="1"/>
    <x:col min="11" max="11" width="17" hidden="0" customWidth="1"/>
    <x:col min="12" max="12" width="32" hidden="0" customWidth="1"/>
  </x:cols>
  <x:sheetData>
    <x:row r="1" ht="32" customHeight="1">
      <x:c r="A1" s="13" t="str">
        <x:v>Origem</x:v>
      </x:c>
      <x:c r="B1" s="13" t="str">
        <x:v>Item</x:v>
      </x:c>
      <x:c r="C1" s="13" t="str">
        <x:v>Qtd.</x:v>
      </x:c>
      <x:c r="D1" s="13" t="str">
        <x:v>Valor real (gp)</x:v>
      </x:c>
      <x:c r="E1" s="13" t="str">
        <x:v>Valor estimado (gp)</x:v>
      </x:c>
      <x:c r="F1" s="13" t="str">
        <x:v>Como foi estimado</x:v>
      </x:c>
      <x:c r="G1" s="13" t="str">
        <x:v>Categoria</x:v>
      </x:c>
      <x:c r="H1" s="13" t="str">
        <x:v>Vender?</x:v>
      </x:c>
      <x:c r="I1" s="13" t="str">
        <x:v>Valor base (gp)</x:v>
      </x:c>
      <x:c r="J1" s="13" t="str">
        <x:v>Bônus aplicado</x:v>
      </x:c>
      <x:c r="K1" s="13" t="str">
        <x:v>Venda líquida (gp)</x:v>
      </x:c>
      <x:c r="L1" s="13" t="str">
        <x:v>Observação</x:v>
      </x:c>
    </x:row>
    <x:row r="2">
      <x:c r="A2" s="17" t="str">
        <x:v>Goblin — primeira sala</x:v>
      </x:c>
      <x:c r="B2" s="17" t="str">
        <x:v>Cimitarra</x:v>
      </x:c>
      <x:c r="C2" s="19" t="n">
        <x:v>1</x:v>
      </x:c>
      <x:c r="D2" s="21"/>
      <x:c r="E2" s="21" t="n">
        <x:v>25</x:v>
      </x:c>
      <x:c r="F2" s="17" t="str">
        <x:v>Preço de lista D&amp;D 5e</x:v>
      </x:c>
      <x:c r="G2" s="17" t="str">
        <x:v>Item comum</x:v>
      </x:c>
      <x:c r="H2" s="17" t="str">
        <x:v>Sim</x:v>
      </x:c>
      <x:c r="I2" s="21" t="n">
        <x:f>IF(D2&lt;&gt;"",D2,IF(E2&lt;&gt;"",E2,0))</x:f>
        <x:v>25</x:v>
      </x:c>
      <x:c r="J2" s="23" t="n">
        <x:f>IF(G2="Joia",Parametros!$B$3,IF(G2="Mágico",Parametros!$B$4,Parametros!$B$2))</x:f>
        <x:v>0.15</x:v>
      </x:c>
      <x:c r="K2" s="21" t="n">
        <x:f>IF(H2="Sim",I2*(1+J2),0)</x:f>
        <x:v>28.749999999999996</x:v>
      </x:c>
      <x:c r="L2" s="17"/>
    </x:row>
    <x:row r="3">
      <x:c r="A3" s="17" t="str">
        <x:v>Goblin — primeira sala</x:v>
      </x:c>
      <x:c r="B3" s="17" t="str">
        <x:v>Escudo</x:v>
      </x:c>
      <x:c r="C3" s="19" t="n">
        <x:v>1</x:v>
      </x:c>
      <x:c r="D3" s="21"/>
      <x:c r="E3" s="21" t="n">
        <x:v>10</x:v>
      </x:c>
      <x:c r="F3" s="17" t="str">
        <x:v>Preço de lista D&amp;D 5e</x:v>
      </x:c>
      <x:c r="G3" s="17" t="str">
        <x:v>Item comum</x:v>
      </x:c>
      <x:c r="H3" s="17" t="str">
        <x:v>Sim</x:v>
      </x:c>
      <x:c r="I3" s="21" t="n">
        <x:f>IF(D3&lt;&gt;"",D3,IF(E3&lt;&gt;"",E3,0))</x:f>
        <x:v>10</x:v>
      </x:c>
      <x:c r="J3" s="23" t="n">
        <x:f>IF(G3="Joia",Parametros!$B$3,IF(G3="Mágico",Parametros!$B$4,Parametros!$B$2))</x:f>
        <x:v>0.15</x:v>
      </x:c>
      <x:c r="K3" s="21" t="n">
        <x:f>IF(H3="Sim",I3*(1+J3),0)</x:f>
        <x:v>11.5</x:v>
      </x:c>
      <x:c r="L3" s="17"/>
    </x:row>
    <x:row r="4">
      <x:c r="A4" s="17" t="str">
        <x:v>Humanos — sala escondida 2</x:v>
      </x:c>
      <x:c r="B4" s="17" t="str">
        <x:v>Moedas: 43 pp</x:v>
      </x:c>
      <x:c r="C4" s="19" t="n">
        <x:v>1</x:v>
      </x:c>
      <x:c r="D4" s="21" t="n">
        <x:v>4.3</x:v>
      </x:c>
      <x:c r="E4" s="21"/>
      <x:c r="F4" s="17" t="str">
        <x:v>43 pp × 0,1 gp</x:v>
      </x:c>
      <x:c r="G4" s="17" t="str">
        <x:v>Moedas</x:v>
      </x:c>
      <x:c r="H4" s="17" t="str">
        <x:v>Não</x:v>
      </x:c>
      <x:c r="I4" s="21" t="n">
        <x:f>IF(D4&lt;&gt;"",D4,IF(E4&lt;&gt;"",E4,0))</x:f>
        <x:v>4.3</x:v>
      </x:c>
      <x:c r="J4" s="23" t="n">
        <x:f>IF(G4="Joia",Parametros!$B$3,IF(G4="Mágico",Parametros!$B$4,Parametros!$B$2))</x:f>
        <x:v>0.15</x:v>
      </x:c>
      <x:c r="K4" s="21" t="n">
        <x:f>IF(H4="Sim",I4*(1+J4),0)</x:f>
        <x:v>0</x:v>
      </x:c>
      <x:c r="L4" s="17"/>
    </x:row>
    <x:row r="5">
      <x:c r="A5" s="17" t="str">
        <x:v>Humanos — sala escondida 2</x:v>
      </x:c>
      <x:c r="B5" s="17" t="str">
        <x:v>Moedas: 9 gp</x:v>
      </x:c>
      <x:c r="C5" s="19" t="n">
        <x:v>1</x:v>
      </x:c>
      <x:c r="D5" s="21" t="n">
        <x:v>9</x:v>
      </x:c>
      <x:c r="E5" s="21"/>
      <x:c r="F5" s="17" t="str">
        <x:v>Valor anotado</x:v>
      </x:c>
      <x:c r="G5" s="17" t="str">
        <x:v>Moedas</x:v>
      </x:c>
      <x:c r="H5" s="17" t="str">
        <x:v>Não</x:v>
      </x:c>
      <x:c r="I5" s="21" t="n">
        <x:f>IF(D5&lt;&gt;"",D5,IF(E5&lt;&gt;"",E5,0))</x:f>
        <x:v>9</x:v>
      </x:c>
      <x:c r="J5" s="23" t="n">
        <x:f>IF(G5="Joia",Parametros!$B$3,IF(G5="Mágico",Parametros!$B$4,Parametros!$B$2))</x:f>
        <x:v>0.15</x:v>
      </x:c>
      <x:c r="K5" s="21" t="n">
        <x:f>IF(H5="Sim",I5*(1+J5),0)</x:f>
        <x:v>0</x:v>
      </x:c>
      <x:c r="L5" s="17"/>
    </x:row>
    <x:row r="6">
      <x:c r="A6" s="17" t="str">
        <x:v>Humanos — sala escondida 2</x:v>
      </x:c>
      <x:c r="B6" s="17" t="str">
        <x:v>3 Dardos elementais de uso único</x:v>
      </x:c>
      <x:c r="C6" s="19" t="n">
        <x:v>1</x:v>
      </x:c>
      <x:c r="D6" s="21"/>
      <x:c r="E6" s="21" t="n">
        <x:v>150</x:v>
      </x:c>
      <x:c r="F6" s="17" t="str">
        <x:v>Estimativa conservadora: 50 gp cada por efeito mágico de uso único</x:v>
      </x:c>
      <x:c r="G6" s="17" t="str">
        <x:v>Mágico</x:v>
      </x:c>
      <x:c r="H6" s="17" t="str">
        <x:v>Não</x:v>
      </x:c>
      <x:c r="I6" s="21" t="n">
        <x:f>IF(D6&lt;&gt;"",D6,IF(E6&lt;&gt;"",E6,0))</x:f>
        <x:v>150</x:v>
      </x:c>
      <x:c r="J6" s="23" t="n">
        <x:f>IF(G6="Joia",Parametros!$B$3,IF(G6="Mágico",Parametros!$B$4,Parametros!$B$2))</x:f>
        <x:v>0.15</x:v>
      </x:c>
      <x:c r="K6" s="21" t="n">
        <x:f>IF(H6="Sim",I6*(1+J6),0)</x:f>
        <x:v>0</x:v>
      </x:c>
      <x:c r="L6" s="17" t="str">
        <x:v>Manter com o grupo / confirmar antes de vender.</x:v>
      </x:c>
    </x:row>
    <x:row r="7">
      <x:c r="A7" s="17" t="str">
        <x:v>Dragão</x:v>
      </x:c>
      <x:c r="B7" s="17" t="str">
        <x:v>Escama de wyrmling gelada</x:v>
      </x:c>
      <x:c r="C7" s="19" t="n">
        <x:v>1</x:v>
      </x:c>
      <x:c r="D7" s="21"/>
      <x:c r="E7" s="21" t="n">
        <x:v>25</x:v>
      </x:c>
      <x:c r="F7" s="17" t="str">
        <x:v>Componente/curiosidade; estimativa conservadora</x:v>
      </x:c>
      <x:c r="G7" s="17" t="str">
        <x:v>Especial</x:v>
      </x:c>
      <x:c r="H7" s="17" t="str">
        <x:v>Não</x:v>
      </x:c>
      <x:c r="I7" s="21" t="n">
        <x:f>IF(D7&lt;&gt;"",D7,IF(E7&lt;&gt;"",E7,0))</x:f>
        <x:v>25</x:v>
      </x:c>
      <x:c r="J7" s="23" t="n">
        <x:f>IF(G7="Joia",Parametros!$B$3,IF(G7="Mágico",Parametros!$B$4,Parametros!$B$2))</x:f>
        <x:v>0.15</x:v>
      </x:c>
      <x:c r="K7" s="21" t="n">
        <x:f>IF(H7="Sim",I7*(1+J7),0)</x:f>
        <x:v>0</x:v>
      </x:c>
      <x:c r="L7" s="17" t="str">
        <x:v>Manter com o grupo / confirmar antes de vender.</x:v>
      </x:c>
    </x:row>
    <x:row r="8">
      <x:c r="A8" s="17" t="str">
        <x:v>Kobolds</x:v>
      </x:c>
      <x:c r="B8" s="17" t="str">
        <x:v>Concha gigante</x:v>
      </x:c>
      <x:c r="C8" s="19" t="n">
        <x:v>1</x:v>
      </x:c>
      <x:c r="D8" s="21"/>
      <x:c r="E8" s="21" t="n">
        <x:v>5</x:v>
      </x:c>
      <x:c r="F8" s="17" t="str">
        <x:v>Curiosidade decorativa; estimativa</x:v>
      </x:c>
      <x:c r="G8" s="17" t="str">
        <x:v>Item comum</x:v>
      </x:c>
      <x:c r="H8" s="17" t="str">
        <x:v>Sim</x:v>
      </x:c>
      <x:c r="I8" s="21" t="n">
        <x:f>IF(D8&lt;&gt;"",D8,IF(E8&lt;&gt;"",E8,0))</x:f>
        <x:v>5</x:v>
      </x:c>
      <x:c r="J8" s="23" t="n">
        <x:f>IF(G8="Joia",Parametros!$B$3,IF(G8="Mágico",Parametros!$B$4,Parametros!$B$2))</x:f>
        <x:v>0.15</x:v>
      </x:c>
      <x:c r="K8" s="21" t="n">
        <x:f>IF(H8="Sim",I8*(1+J8),0)</x:f>
        <x:v>5.75</x:v>
      </x:c>
      <x:c r="L8" s="17"/>
    </x:row>
    <x:row r="9">
      <x:c r="A9" s="17" t="str">
        <x:v>Kobolds</x:v>
      </x:c>
      <x:c r="B9" s="17" t="str">
        <x:v>Material para criar crossbow</x:v>
      </x:c>
      <x:c r="C9" s="19" t="n">
        <x:v>1</x:v>
      </x:c>
      <x:c r="D9" s="21"/>
      <x:c r="E9" s="21" t="n">
        <x:v>12.5</x:v>
      </x:c>
      <x:c r="F9" s="17" t="str">
        <x:v>Metade do preço de uma light crossbow (25 gp)</x:v>
      </x:c>
      <x:c r="G9" s="17" t="str">
        <x:v>Item comum</x:v>
      </x:c>
      <x:c r="H9" s="17" t="str">
        <x:v>Sim</x:v>
      </x:c>
      <x:c r="I9" s="21" t="n">
        <x:f>IF(D9&lt;&gt;"",D9,IF(E9&lt;&gt;"",E9,0))</x:f>
        <x:v>12.5</x:v>
      </x:c>
      <x:c r="J9" s="23" t="n">
        <x:f>IF(G9="Joia",Parametros!$B$3,IF(G9="Mágico",Parametros!$B$4,Parametros!$B$2))</x:f>
        <x:v>0.15</x:v>
      </x:c>
      <x:c r="K9" s="21" t="n">
        <x:f>IF(H9="Sim",I9*(1+J9),0)</x:f>
        <x:v>14.374999999999998</x:v>
      </x:c>
      <x:c r="L9" s="17"/>
    </x:row>
    <x:row r="10">
      <x:c r="A10" s="17" t="str">
        <x:v>Kobolds</x:v>
      </x:c>
      <x:c r="B10" s="17" t="str">
        <x:v>Ferro útil (4 kg / 8 lb)</x:v>
      </x:c>
      <x:c r="C10" s="19" t="n">
        <x:v>1</x:v>
      </x:c>
      <x:c r="D10" s="21"/>
      <x:c r="E10" s="21" t="n">
        <x:v>0.8</x:v>
      </x:c>
      <x:c r="F10" s="17" t="str">
        <x:v>Ferro bruto estimado: 0,1 gp/lb</x:v>
      </x:c>
      <x:c r="G10" s="17" t="str">
        <x:v>Item comum</x:v>
      </x:c>
      <x:c r="H10" s="17" t="str">
        <x:v>Sim</x:v>
      </x:c>
      <x:c r="I10" s="21" t="n">
        <x:f>IF(D10&lt;&gt;"",D10,IF(E10&lt;&gt;"",E10,0))</x:f>
        <x:v>0.8</x:v>
      </x:c>
      <x:c r="J10" s="23" t="n">
        <x:f>IF(G10="Joia",Parametros!$B$3,IF(G10="Mágico",Parametros!$B$4,Parametros!$B$2))</x:f>
        <x:v>0.15</x:v>
      </x:c>
      <x:c r="K10" s="21" t="n">
        <x:f>IF(H10="Sim",I10*(1+J10),0)</x:f>
        <x:v>0.9199999999999999</x:v>
      </x:c>
      <x:c r="L10" s="17"/>
    </x:row>
    <x:row r="11">
      <x:c r="A11" s="17" t="str">
        <x:v>Esqueletos</x:v>
      </x:c>
      <x:c r="B11" s="17" t="str">
        <x:v>Apito Nightcaller</x:v>
      </x:c>
      <x:c r="C11" s="19" t="n">
        <x:v>1</x:v>
      </x:c>
      <x:c r="D11" s="21"/>
      <x:c r="E11" s="21" t="n">
        <x:v>500</x:v>
      </x:c>
      <x:c r="F11" s="17" t="str">
        <x:v>Item mágico raro; valor de referência muito incerto</x:v>
      </x:c>
      <x:c r="G11" s="17" t="str">
        <x:v>Mágico</x:v>
      </x:c>
      <x:c r="H11" s="17" t="str">
        <x:v>Não</x:v>
      </x:c>
      <x:c r="I11" s="21" t="n">
        <x:f>IF(D11&lt;&gt;"",D11,IF(E11&lt;&gt;"",E11,0))</x:f>
        <x:v>500</x:v>
      </x:c>
      <x:c r="J11" s="23" t="n">
        <x:f>IF(G11="Joia",Parametros!$B$3,IF(G11="Mágico",Parametros!$B$4,Parametros!$B$2))</x:f>
        <x:v>0.15</x:v>
      </x:c>
      <x:c r="K11" s="21" t="n">
        <x:f>IF(H11="Sim",I11*(1+J11),0)</x:f>
        <x:v>0</x:v>
      </x:c>
      <x:c r="L11" s="17" t="str">
        <x:v>Manter com o grupo / confirmar antes de vender.</x:v>
      </x:c>
    </x:row>
    <x:row r="12">
      <x:c r="A12" s="17" t="str">
        <x:v>Esqueletos</x:v>
      </x:c>
      <x:c r="B12" s="17" t="str">
        <x:v>Poção de resistência a fogo</x:v>
      </x:c>
      <x:c r="C12" s="19" t="n">
        <x:v>1</x:v>
      </x:c>
      <x:c r="D12" s="21"/>
      <x:c r="E12" s="21" t="n">
        <x:v>300</x:v>
      </x:c>
      <x:c r="F12" s="17" t="str">
        <x:v>Poção mágica incomum; estimativa</x:v>
      </x:c>
      <x:c r="G12" s="17" t="str">
        <x:v>Mágico</x:v>
      </x:c>
      <x:c r="H12" s="17" t="str">
        <x:v>Não</x:v>
      </x:c>
      <x:c r="I12" s="21" t="n">
        <x:f>IF(D12&lt;&gt;"",D12,IF(E12&lt;&gt;"",E12,0))</x:f>
        <x:v>300</x:v>
      </x:c>
      <x:c r="J12" s="23" t="n">
        <x:f>IF(G12="Joia",Parametros!$B$3,IF(G12="Mágico",Parametros!$B$4,Parametros!$B$2))</x:f>
        <x:v>0.15</x:v>
      </x:c>
      <x:c r="K12" s="21" t="n">
        <x:f>IF(H12="Sim",I12*(1+J12),0)</x:f>
        <x:v>0</x:v>
      </x:c>
      <x:c r="L12" s="17" t="str">
        <x:v>Manter com o grupo / confirmar antes de vender.</x:v>
      </x:c>
    </x:row>
    <x:row r="13">
      <x:c r="A13" s="17" t="str">
        <x:v>Esqueletos</x:v>
      </x:c>
      <x:c r="B13" s="17" t="str">
        <x:v>Poção de sopro de fogo</x:v>
      </x:c>
      <x:c r="C13" s="19" t="n">
        <x:v>1</x:v>
      </x:c>
      <x:c r="D13" s="21"/>
      <x:c r="E13" s="21" t="n">
        <x:v>150</x:v>
      </x:c>
      <x:c r="F13" s="17" t="str">
        <x:v>Poção mágica incomum; estimativa</x:v>
      </x:c>
      <x:c r="G13" s="17" t="str">
        <x:v>Mágico</x:v>
      </x:c>
      <x:c r="H13" s="17" t="str">
        <x:v>Não</x:v>
      </x:c>
      <x:c r="I13" s="21" t="n">
        <x:f>IF(D13&lt;&gt;"",D13,IF(E13&lt;&gt;"",E13,0))</x:f>
        <x:v>150</x:v>
      </x:c>
      <x:c r="J13" s="23" t="n">
        <x:f>IF(G13="Joia",Parametros!$B$3,IF(G13="Mágico",Parametros!$B$4,Parametros!$B$2))</x:f>
        <x:v>0.15</x:v>
      </x:c>
      <x:c r="K13" s="21" t="n">
        <x:f>IF(H13="Sim",I13*(1+J13),0)</x:f>
        <x:v>0</x:v>
      </x:c>
      <x:c r="L13" s="17" t="str">
        <x:v>Manter com o grupo / confirmar antes de vender.</x:v>
      </x:c>
    </x:row>
    <x:row r="14">
      <x:c r="A14" s="17" t="str">
        <x:v>Esqueletos</x:v>
      </x:c>
      <x:c r="B14" s="17" t="str">
        <x:v>Vela</x:v>
      </x:c>
      <x:c r="C14" s="19" t="n">
        <x:v>1</x:v>
      </x:c>
      <x:c r="D14" s="21"/>
      <x:c r="E14" s="21" t="n">
        <x:v>0.01</x:v>
      </x:c>
      <x:c r="F14" s="17" t="str">
        <x:v>Preço de lista D&amp;D 5e</x:v>
      </x:c>
      <x:c r="G14" s="17" t="str">
        <x:v>Item comum</x:v>
      </x:c>
      <x:c r="H14" s="17" t="str">
        <x:v>Sim</x:v>
      </x:c>
      <x:c r="I14" s="21" t="n">
        <x:f>IF(D14&lt;&gt;"",D14,IF(E14&lt;&gt;"",E14,0))</x:f>
        <x:v>0.01</x:v>
      </x:c>
      <x:c r="J14" s="23" t="n">
        <x:f>IF(G14="Joia",Parametros!$B$3,IF(G14="Mágico",Parametros!$B$4,Parametros!$B$2))</x:f>
        <x:v>0.15</x:v>
      </x:c>
      <x:c r="K14" s="21" t="n">
        <x:f>IF(H14="Sim",I14*(1+J14),0)</x:f>
        <x:v>0.0115</x:v>
      </x:c>
      <x:c r="L14" s="17"/>
    </x:row>
    <x:row r="15">
      <x:c r="A15" s="17" t="str">
        <x:v>Esqueletos</x:v>
      </x:c>
      <x:c r="B15" s="17" t="str">
        <x:v>9 pequenas estátuas de dragão em jade</x:v>
      </x:c>
      <x:c r="C15" s="19" t="n">
        <x:v>1</x:v>
      </x:c>
      <x:c r="D15" s="21"/>
      <x:c r="E15" s="21" t="n">
        <x:v>90</x:v>
      </x:c>
      <x:c r="F15" s="17" t="str">
        <x:v>Estimativa: 10 gp cada; confirmar avaliação</x:v>
      </x:c>
      <x:c r="G15" s="17" t="str">
        <x:v>Joia</x:v>
      </x:c>
      <x:c r="H15" s="17" t="str">
        <x:v>Sim</x:v>
      </x:c>
      <x:c r="I15" s="21" t="n">
        <x:f>IF(D15&lt;&gt;"",D15,IF(E15&lt;&gt;"",E15,0))</x:f>
        <x:v>90</x:v>
      </x:c>
      <x:c r="J15" s="23" t="n">
        <x:f>IF(G15="Joia",Parametros!$B$3,IF(G15="Mágico",Parametros!$B$4,Parametros!$B$2))</x:f>
        <x:v>0.05</x:v>
      </x:c>
      <x:c r="K15" s="21" t="n">
        <x:f>IF(H15="Sim",I15*(1+J15),0)</x:f>
        <x:v>94.5</x:v>
      </x:c>
      <x:c r="L15" s="17"/>
    </x:row>
    <x:row r="16">
      <x:c r="A16" s="17" t="str">
        <x:v>Ratão</x:v>
      </x:c>
      <x:c r="B16" s="17" t="str">
        <x:v>Moedas: 312 pp</x:v>
      </x:c>
      <x:c r="C16" s="19" t="n">
        <x:v>1</x:v>
      </x:c>
      <x:c r="D16" s="21" t="n">
        <x:v>31.2</x:v>
      </x:c>
      <x:c r="E16" s="21"/>
      <x:c r="F16" s="17" t="str">
        <x:v>312 pp × 0,1 gp</x:v>
      </x:c>
      <x:c r="G16" s="17" t="str">
        <x:v>Moedas</x:v>
      </x:c>
      <x:c r="H16" s="17" t="str">
        <x:v>Não</x:v>
      </x:c>
      <x:c r="I16" s="21" t="n">
        <x:f>IF(D16&lt;&gt;"",D16,IF(E16&lt;&gt;"",E16,0))</x:f>
        <x:v>31.2</x:v>
      </x:c>
      <x:c r="J16" s="23" t="n">
        <x:f>IF(G16="Joia",Parametros!$B$3,IF(G16="Mágico",Parametros!$B$4,Parametros!$B$2))</x:f>
        <x:v>0.15</x:v>
      </x:c>
      <x:c r="K16" s="21" t="n">
        <x:f>IF(H16="Sim",I16*(1+J16),0)</x:f>
        <x:v>0</x:v>
      </x:c>
      <x:c r="L16" s="17"/>
    </x:row>
    <x:row r="17">
      <x:c r="A17" s="17" t="str">
        <x:v>Ratão</x:v>
      </x:c>
      <x:c r="B17" s="17" t="str">
        <x:v>Moedas: 68 gp</x:v>
      </x:c>
      <x:c r="C17" s="19" t="n">
        <x:v>1</x:v>
      </x:c>
      <x:c r="D17" s="21" t="n">
        <x:v>68</x:v>
      </x:c>
      <x:c r="E17" s="21"/>
      <x:c r="F17" s="17" t="str">
        <x:v>Valor anotado</x:v>
      </x:c>
      <x:c r="G17" s="17" t="str">
        <x:v>Moedas</x:v>
      </x:c>
      <x:c r="H17" s="17" t="str">
        <x:v>Não</x:v>
      </x:c>
      <x:c r="I17" s="21" t="n">
        <x:f>IF(D17&lt;&gt;"",D17,IF(E17&lt;&gt;"",E17,0))</x:f>
        <x:v>68</x:v>
      </x:c>
      <x:c r="J17" s="23" t="n">
        <x:f>IF(G17="Joia",Parametros!$B$3,IF(G17="Mágico",Parametros!$B$4,Parametros!$B$2))</x:f>
        <x:v>0.15</x:v>
      </x:c>
      <x:c r="K17" s="21" t="n">
        <x:f>IF(H17="Sim",I17*(1+J17),0)</x:f>
        <x:v>0</x:v>
      </x:c>
      <x:c r="L17" s="17"/>
    </x:row>
    <x:row r="18">
      <x:c r="A18" s="17" t="str">
        <x:v>Ratão</x:v>
      </x:c>
      <x:c r="B18" s="17" t="str">
        <x:v>Pepita de ouro</x:v>
      </x:c>
      <x:c r="C18" s="19" t="n">
        <x:v>1</x:v>
      </x:c>
      <x:c r="D18" s="21" t="n">
        <x:v>17</x:v>
      </x:c>
      <x:c r="E18" s="21"/>
      <x:c r="F18" s="17" t="str">
        <x:v>Valor anotado</x:v>
      </x:c>
      <x:c r="G18" s="17" t="str">
        <x:v>Moedas</x:v>
      </x:c>
      <x:c r="H18" s="17" t="str">
        <x:v>Não</x:v>
      </x:c>
      <x:c r="I18" s="21" t="n">
        <x:f>IF(D18&lt;&gt;"",D18,IF(E18&lt;&gt;"",E18,0))</x:f>
        <x:v>17</x:v>
      </x:c>
      <x:c r="J18" s="23" t="n">
        <x:f>IF(G18="Joia",Parametros!$B$3,IF(G18="Mágico",Parametros!$B$4,Parametros!$B$2))</x:f>
        <x:v>0.15</x:v>
      </x:c>
      <x:c r="K18" s="21" t="n">
        <x:f>IF(H18="Sim",I18*(1+J18),0)</x:f>
        <x:v>0</x:v>
      </x:c>
      <x:c r="L18" s="17"/>
    </x:row>
    <x:row r="19">
      <x:c r="A19" s="17" t="str">
        <x:v>Ratão</x:v>
      </x:c>
      <x:c r="B19" s="17" t="str">
        <x:v>Anel dourado de Karakas</x:v>
      </x:c>
      <x:c r="C19" s="19" t="n">
        <x:v>1</x:v>
      </x:c>
      <x:c r="D19" s="21"/>
      <x:c r="E19" s="21" t="n">
        <x:v>25</x:v>
      </x:c>
      <x:c r="F19" s="17" t="str">
        <x:v>Joia simples; mas pertence ao ranger Karakas</x:v>
      </x:c>
      <x:c r="G19" s="17" t="str">
        <x:v>Item de missão</x:v>
      </x:c>
      <x:c r="H19" s="17" t="str">
        <x:v>Não</x:v>
      </x:c>
      <x:c r="I19" s="21" t="n">
        <x:f>IF(D19&lt;&gt;"",D19,IF(E19&lt;&gt;"",E19,0))</x:f>
        <x:v>25</x:v>
      </x:c>
      <x:c r="J19" s="23" t="n">
        <x:f>IF(G19="Joia",Parametros!$B$3,IF(G19="Mágico",Parametros!$B$4,Parametros!$B$2))</x:f>
        <x:v>0.15</x:v>
      </x:c>
      <x:c r="K19" s="21" t="n">
        <x:f>IF(H19="Sim",I19*(1+J19),0)</x:f>
        <x:v>0</x:v>
      </x:c>
      <x:c r="L19" s="17" t="str">
        <x:v>Manter com o grupo / confirmar antes de vender.</x:v>
      </x:c>
    </x:row>
    <x:row r="20">
      <x:c r="A20" s="17" t="str">
        <x:v>Ratão</x:v>
      </x:c>
      <x:c r="B20" s="17" t="str">
        <x:v>2 Adagas</x:v>
      </x:c>
      <x:c r="C20" s="19" t="n">
        <x:v>1</x:v>
      </x:c>
      <x:c r="D20" s="21"/>
      <x:c r="E20" s="21" t="n">
        <x:v>4</x:v>
      </x:c>
      <x:c r="F20" s="17" t="str">
        <x:v>2 × 2 gp (preço de lista)</x:v>
      </x:c>
      <x:c r="G20" s="17" t="str">
        <x:v>Item comum</x:v>
      </x:c>
      <x:c r="H20" s="17" t="str">
        <x:v>Sim</x:v>
      </x:c>
      <x:c r="I20" s="21" t="n">
        <x:f>IF(D20&lt;&gt;"",D20,IF(E20&lt;&gt;"",E20,0))</x:f>
        <x:v>4</x:v>
      </x:c>
      <x:c r="J20" s="23" t="n">
        <x:f>IF(G20="Joia",Parametros!$B$3,IF(G20="Mágico",Parametros!$B$4,Parametros!$B$2))</x:f>
        <x:v>0.15</x:v>
      </x:c>
      <x:c r="K20" s="21" t="n">
        <x:f>IF(H20="Sim",I20*(1+J20),0)</x:f>
        <x:v>4.6</x:v>
      </x:c>
      <x:c r="L20" s="17"/>
    </x:row>
    <x:row r="21">
      <x:c r="A21" s="17" t="str">
        <x:v>Ratão</x:v>
      </x:c>
      <x:c r="B21" s="17" t="str">
        <x:v>Arco longo</x:v>
      </x:c>
      <x:c r="C21" s="19" t="n">
        <x:v>1</x:v>
      </x:c>
      <x:c r="D21" s="21"/>
      <x:c r="E21" s="21" t="n">
        <x:v>50</x:v>
      </x:c>
      <x:c r="F21" s="17" t="str">
        <x:v>Preço de lista D&amp;D 5e</x:v>
      </x:c>
      <x:c r="G21" s="17" t="str">
        <x:v>Item comum</x:v>
      </x:c>
      <x:c r="H21" s="17" t="str">
        <x:v>Sim</x:v>
      </x:c>
      <x:c r="I21" s="21" t="n">
        <x:f>IF(D21&lt;&gt;"",D21,IF(E21&lt;&gt;"",E21,0))</x:f>
        <x:v>50</x:v>
      </x:c>
      <x:c r="J21" s="23" t="n">
        <x:f>IF(G21="Joia",Parametros!$B$3,IF(G21="Mágico",Parametros!$B$4,Parametros!$B$2))</x:f>
        <x:v>0.15</x:v>
      </x:c>
      <x:c r="K21" s="21" t="n">
        <x:f>IF(H21="Sim",I21*(1+J21),0)</x:f>
        <x:v>57.49999999999999</x:v>
      </x:c>
      <x:c r="L21" s="17"/>
    </x:row>
    <x:row r="22">
      <x:c r="A22" s="17" t="str">
        <x:v>Ratão</x:v>
      </x:c>
      <x:c r="B22" s="17" t="str">
        <x:v>Aljava</x:v>
      </x:c>
      <x:c r="C22" s="19" t="n">
        <x:v>1</x:v>
      </x:c>
      <x:c r="D22" s="21"/>
      <x:c r="E22" s="21" t="n">
        <x:v>1</x:v>
      </x:c>
      <x:c r="F22" s="17" t="str">
        <x:v>Preço de lista D&amp;D 5e</x:v>
      </x:c>
      <x:c r="G22" s="17" t="str">
        <x:v>Item comum</x:v>
      </x:c>
      <x:c r="H22" s="17" t="str">
        <x:v>Sim</x:v>
      </x:c>
      <x:c r="I22" s="21" t="n">
        <x:f>IF(D22&lt;&gt;"",D22,IF(E22&lt;&gt;"",E22,0))</x:f>
        <x:v>1</x:v>
      </x:c>
      <x:c r="J22" s="23" t="n">
        <x:f>IF(G22="Joia",Parametros!$B$3,IF(G22="Mágico",Parametros!$B$4,Parametros!$B$2))</x:f>
        <x:v>0.15</x:v>
      </x:c>
      <x:c r="K22" s="21" t="n">
        <x:f>IF(H22="Sim",I22*(1+J22),0)</x:f>
        <x:v>1.15</x:v>
      </x:c>
      <x:c r="L22" s="17"/>
    </x:row>
    <x:row r="23">
      <x:c r="A23" s="17" t="str">
        <x:v>Ratão</x:v>
      </x:c>
      <x:c r="B23" s="17" t="str">
        <x:v>3 gemas</x:v>
      </x:c>
      <x:c r="C23" s="19" t="n">
        <x:v>1</x:v>
      </x:c>
      <x:c r="D23" s="21" t="n">
        <x:v>75</x:v>
      </x:c>
      <x:c r="E23" s="21"/>
      <x:c r="F23" s="17" t="str">
        <x:v>3 × 25 gp anotados</x:v>
      </x:c>
      <x:c r="G23" s="17" t="str">
        <x:v>Joia</x:v>
      </x:c>
      <x:c r="H23" s="17" t="str">
        <x:v>Sim</x:v>
      </x:c>
      <x:c r="I23" s="21" t="n">
        <x:f>IF(D23&lt;&gt;"",D23,IF(E23&lt;&gt;"",E23,0))</x:f>
        <x:v>75</x:v>
      </x:c>
      <x:c r="J23" s="23" t="n">
        <x:f>IF(G23="Joia",Parametros!$B$3,IF(G23="Mágico",Parametros!$B$4,Parametros!$B$2))</x:f>
        <x:v>0.05</x:v>
      </x:c>
      <x:c r="K23" s="21" t="n">
        <x:f>IF(H23="Sim",I23*(1+J23),0)</x:f>
        <x:v>78.75</x:v>
      </x:c>
      <x:c r="L23" s="17"/>
    </x:row>
    <x:row r="24">
      <x:c r="A24" s="17" t="str">
        <x:v>Ratão</x:v>
      </x:c>
      <x:c r="B24" s="17" t="str">
        <x:v>Waterskin, comida, bedroll, fósforos e 3 tochas</x:v>
      </x:c>
      <x:c r="C24" s="19" t="n">
        <x:v>1</x:v>
      </x:c>
      <x:c r="D24" s="21"/>
      <x:c r="E24" s="21" t="n">
        <x:v>4</x:v>
      </x:c>
      <x:c r="F24" s="17" t="str">
        <x:v>Estimativa por equipamento básico; confirmar conteúdo</x:v>
      </x:c>
      <x:c r="G24" s="17" t="str">
        <x:v>Item comum</x:v>
      </x:c>
      <x:c r="H24" s="17" t="str">
        <x:v>Sim</x:v>
      </x:c>
      <x:c r="I24" s="21" t="n">
        <x:f>IF(D24&lt;&gt;"",D24,IF(E24&lt;&gt;"",E24,0))</x:f>
        <x:v>4</x:v>
      </x:c>
      <x:c r="J24" s="23" t="n">
        <x:f>IF(G24="Joia",Parametros!$B$3,IF(G24="Mágico",Parametros!$B$4,Parametros!$B$2))</x:f>
        <x:v>0.15</x:v>
      </x:c>
      <x:c r="K24" s="21" t="n">
        <x:f>IF(H24="Sim",I24*(1+J24),0)</x:f>
        <x:v>4.6</x:v>
      </x:c>
      <x:c r="L24" s="17"/>
    </x:row>
    <x:row r="25">
      <x:c r="A25" s="17" t="str">
        <x:v>Ratão</x:v>
      </x:c>
      <x:c r="B25" s="17" t="str">
        <x:v>Concha pequena</x:v>
      </x:c>
      <x:c r="C25" s="19" t="n">
        <x:v>1</x:v>
      </x:c>
      <x:c r="D25" s="21"/>
      <x:c r="E25" s="21" t="n">
        <x:v>0.5</x:v>
      </x:c>
      <x:c r="F25" s="17" t="str">
        <x:v>Curiosidade decorativa; estimativa</x:v>
      </x:c>
      <x:c r="G25" s="17" t="str">
        <x:v>Item comum</x:v>
      </x:c>
      <x:c r="H25" s="17" t="str">
        <x:v>Sim</x:v>
      </x:c>
      <x:c r="I25" s="21" t="n">
        <x:f>IF(D25&lt;&gt;"",D25,IF(E25&lt;&gt;"",E25,0))</x:f>
        <x:v>0.5</x:v>
      </x:c>
      <x:c r="J25" s="23" t="n">
        <x:f>IF(G25="Joia",Parametros!$B$3,IF(G25="Mágico",Parametros!$B$4,Parametros!$B$2))</x:f>
        <x:v>0.15</x:v>
      </x:c>
      <x:c r="K25" s="21" t="n">
        <x:f>IF(H25="Sim",I25*(1+J25),0)</x:f>
        <x:v>0.575</x:v>
      </x:c>
      <x:c r="L25" s="17"/>
    </x:row>
    <x:row r="26">
      <x:c r="A26" s="17" t="str">
        <x:v>Goblins mortos / goblin cativo</x:v>
      </x:c>
      <x:c r="B26" s="17" t="str">
        <x:v>Moedas: 50 gp</x:v>
      </x:c>
      <x:c r="C26" s="19" t="n">
        <x:v>1</x:v>
      </x:c>
      <x:c r="D26" s="21" t="n">
        <x:v>50</x:v>
      </x:c>
      <x:c r="E26" s="21"/>
      <x:c r="F26" s="17" t="str">
        <x:v>Valor anotado</x:v>
      </x:c>
      <x:c r="G26" s="17" t="str">
        <x:v>Moedas</x:v>
      </x:c>
      <x:c r="H26" s="17" t="str">
        <x:v>Não</x:v>
      </x:c>
      <x:c r="I26" s="21" t="n">
        <x:f>IF(D26&lt;&gt;"",D26,IF(E26&lt;&gt;"",E26,0))</x:f>
        <x:v>50</x:v>
      </x:c>
      <x:c r="J26" s="23" t="n">
        <x:f>IF(G26="Joia",Parametros!$B$3,IF(G26="Mágico",Parametros!$B$4,Parametros!$B$2))</x:f>
        <x:v>0.15</x:v>
      </x:c>
      <x:c r="K26" s="21" t="n">
        <x:f>IF(H26="Sim",I26*(1+J26),0)</x:f>
        <x:v>0</x:v>
      </x:c>
      <x:c r="L26" s="17"/>
    </x:row>
    <x:row r="27">
      <x:c r="A27" s="17" t="str">
        <x:v>Goblins mortos / goblin cativo</x:v>
      </x:c>
      <x:c r="B27" s="17" t="str">
        <x:v>Cimitarra</x:v>
      </x:c>
      <x:c r="C27" s="19" t="n">
        <x:v>1</x:v>
      </x:c>
      <x:c r="D27" s="21"/>
      <x:c r="E27" s="21" t="n">
        <x:v>25</x:v>
      </x:c>
      <x:c r="F27" s="17" t="str">
        <x:v>Preço de lista D&amp;D 5e</x:v>
      </x:c>
      <x:c r="G27" s="17" t="str">
        <x:v>Item comum</x:v>
      </x:c>
      <x:c r="H27" s="17" t="str">
        <x:v>Sim</x:v>
      </x:c>
      <x:c r="I27" s="21" t="n">
        <x:f>IF(D27&lt;&gt;"",D27,IF(E27&lt;&gt;"",E27,0))</x:f>
        <x:v>25</x:v>
      </x:c>
      <x:c r="J27" s="23" t="n">
        <x:f>IF(G27="Joia",Parametros!$B$3,IF(G27="Mágico",Parametros!$B$4,Parametros!$B$2))</x:f>
        <x:v>0.15</x:v>
      </x:c>
      <x:c r="K27" s="21" t="n">
        <x:f>IF(H27="Sim",I27*(1+J27),0)</x:f>
        <x:v>28.749999999999996</x:v>
      </x:c>
      <x:c r="L27" s="17"/>
    </x:row>
    <x:row r="28">
      <x:c r="A28" s="17" t="str">
        <x:v>Goblins mortos / goblin cativo</x:v>
      </x:c>
      <x:c r="B28" s="17" t="str">
        <x:v>Arco curto</x:v>
      </x:c>
      <x:c r="C28" s="19" t="n">
        <x:v>1</x:v>
      </x:c>
      <x:c r="D28" s="21"/>
      <x:c r="E28" s="21" t="n">
        <x:v>25</x:v>
      </x:c>
      <x:c r="F28" s="17" t="str">
        <x:v>Preço de lista D&amp;D 5e</x:v>
      </x:c>
      <x:c r="G28" s="17" t="str">
        <x:v>Item comum</x:v>
      </x:c>
      <x:c r="H28" s="17" t="str">
        <x:v>Sim</x:v>
      </x:c>
      <x:c r="I28" s="21" t="n">
        <x:f>IF(D28&lt;&gt;"",D28,IF(E28&lt;&gt;"",E28,0))</x:f>
        <x:v>25</x:v>
      </x:c>
      <x:c r="J28" s="23" t="n">
        <x:f>IF(G28="Joia",Parametros!$B$3,IF(G28="Mágico",Parametros!$B$4,Parametros!$B$2))</x:f>
        <x:v>0.15</x:v>
      </x:c>
      <x:c r="K28" s="21" t="n">
        <x:f>IF(H28="Sim",I28*(1+J28),0)</x:f>
        <x:v>28.749999999999996</x:v>
      </x:c>
      <x:c r="L28" s="17"/>
    </x:row>
    <x:row r="29">
      <x:c r="A29" s="17" t="str">
        <x:v>Goblins mortos / goblin cativo</x:v>
      </x:c>
      <x:c r="B29" s="17" t="str">
        <x:v>Chave</x:v>
      </x:c>
      <x:c r="C29" s="19" t="n">
        <x:v>1</x:v>
      </x:c>
      <x:c r="D29" s="21"/>
      <x:c r="E29" s="21" t="n">
        <x:v>0</x:v>
      </x:c>
      <x:c r="F29" s="17" t="str">
        <x:v>Chave de dungeon; sem venda até confirmar uso</x:v>
      </x:c>
      <x:c r="G29" s="17" t="str">
        <x:v>Item de missão</x:v>
      </x:c>
      <x:c r="H29" s="17" t="str">
        <x:v>Não</x:v>
      </x:c>
      <x:c r="I29" s="21" t="n">
        <x:f>IF(D29&lt;&gt;"",D29,IF(E29&lt;&gt;"",E29,0))</x:f>
        <x:v>0</x:v>
      </x:c>
      <x:c r="J29" s="23" t="n">
        <x:f>IF(G29="Joia",Parametros!$B$3,IF(G29="Mágico",Parametros!$B$4,Parametros!$B$2))</x:f>
        <x:v>0.15</x:v>
      </x:c>
      <x:c r="K29" s="21" t="n">
        <x:f>IF(H29="Sim",I29*(1+J29),0)</x:f>
        <x:v>0</x:v>
      </x:c>
      <x:c r="L29" s="17" t="str">
        <x:v>Manter com o grupo / confirmar antes de vender.</x:v>
      </x:c>
    </x:row>
    <x:row r="30">
      <x:c r="A30" s="17" t="str">
        <x:v>Goblins mortos / goblin cativo</x:v>
      </x:c>
      <x:c r="B30" s="17" t="str">
        <x:v>Frasco prateado de Durgeddin com vinho goblin</x:v>
      </x:c>
      <x:c r="C30" s="19" t="n">
        <x:v>1</x:v>
      </x:c>
      <x:c r="D30" s="21" t="n">
        <x:v>50</x:v>
      </x:c>
      <x:c r="E30" s="21"/>
      <x:c r="F30" s="17" t="str">
        <x:v>Valor anotado</x:v>
      </x:c>
      <x:c r="G30" s="17" t="str">
        <x:v>Arte</x:v>
      </x:c>
      <x:c r="H30" s="17" t="str">
        <x:v>Sim</x:v>
      </x:c>
      <x:c r="I30" s="21" t="n">
        <x:f>IF(D30&lt;&gt;"",D30,IF(E30&lt;&gt;"",E30,0))</x:f>
        <x:v>50</x:v>
      </x:c>
      <x:c r="J30" s="23" t="n">
        <x:f>IF(G30="Joia",Parametros!$B$3,IF(G30="Mágico",Parametros!$B$4,Parametros!$B$2))</x:f>
        <x:v>0.15</x:v>
      </x:c>
      <x:c r="K30" s="21" t="n">
        <x:f>IF(H30="Sim",I30*(1+J30),0)</x:f>
        <x:v>57.49999999999999</x:v>
      </x:c>
      <x:c r="L30" s="17"/>
    </x:row>
    <x:row r="31">
      <x:c r="A31" s="17" t="str">
        <x:v>Goblins mortos / goblin cativo</x:v>
      </x:c>
      <x:c r="B31" s="17" t="str">
        <x:v>9 arcos curtos</x:v>
      </x:c>
      <x:c r="C31" s="19" t="n">
        <x:v>1</x:v>
      </x:c>
      <x:c r="D31" s="21"/>
      <x:c r="E31" s="21" t="n">
        <x:v>225</x:v>
      </x:c>
      <x:c r="F31" s="17" t="str">
        <x:v>9 × 25 gp (preço de lista)</x:v>
      </x:c>
      <x:c r="G31" s="17" t="str">
        <x:v>Item comum</x:v>
      </x:c>
      <x:c r="H31" s="17" t="str">
        <x:v>Sim</x:v>
      </x:c>
      <x:c r="I31" s="21" t="n">
        <x:f>IF(D31&lt;&gt;"",D31,IF(E31&lt;&gt;"",E31,0))</x:f>
        <x:v>225</x:v>
      </x:c>
      <x:c r="J31" s="23" t="n">
        <x:f>IF(G31="Joia",Parametros!$B$3,IF(G31="Mágico",Parametros!$B$4,Parametros!$B$2))</x:f>
        <x:v>0.15</x:v>
      </x:c>
      <x:c r="K31" s="21" t="n">
        <x:f>IF(H31="Sim",I31*(1+J31),0)</x:f>
        <x:v>258.75</x:v>
      </x:c>
      <x:c r="L31" s="17"/>
    </x:row>
    <x:row r="32">
      <x:c r="A32" s="17" t="str">
        <x:v>Goblins mortos / goblin cativo</x:v>
      </x:c>
      <x:c r="B32" s="17" t="str">
        <x:v>2 cimitarras</x:v>
      </x:c>
      <x:c r="C32" s="19" t="n">
        <x:v>1</x:v>
      </x:c>
      <x:c r="D32" s="21"/>
      <x:c r="E32" s="21" t="n">
        <x:v>50</x:v>
      </x:c>
      <x:c r="F32" s="17" t="str">
        <x:v>2 × 25 gp (preço de lista)</x:v>
      </x:c>
      <x:c r="G32" s="17" t="str">
        <x:v>Item comum</x:v>
      </x:c>
      <x:c r="H32" s="17" t="str">
        <x:v>Sim</x:v>
      </x:c>
      <x:c r="I32" s="21" t="n">
        <x:f>IF(D32&lt;&gt;"",D32,IF(E32&lt;&gt;"",E32,0))</x:f>
        <x:v>50</x:v>
      </x:c>
      <x:c r="J32" s="23" t="n">
        <x:f>IF(G32="Joia",Parametros!$B$3,IF(G32="Mágico",Parametros!$B$4,Parametros!$B$2))</x:f>
        <x:v>0.15</x:v>
      </x:c>
      <x:c r="K32" s="21" t="n">
        <x:f>IF(H32="Sim",I32*(1+J32),0)</x:f>
        <x:v>57.49999999999999</x:v>
      </x:c>
      <x:c r="L32" s="17"/>
    </x:row>
    <x:row r="33">
      <x:c r="A33" s="17" t="str">
        <x:v>Sala ao lado dos goblins mortos</x:v>
      </x:c>
      <x:c r="B33" s="17" t="str">
        <x:v>5 frascos de óleo</x:v>
      </x:c>
      <x:c r="C33" s="19" t="n">
        <x:v>1</x:v>
      </x:c>
      <x:c r="D33" s="21"/>
      <x:c r="E33" s="21" t="n">
        <x:v>0.5</x:v>
      </x:c>
      <x:c r="F33" s="17" t="str">
        <x:v>5 × 0,1 gp (preço de lista)</x:v>
      </x:c>
      <x:c r="G33" s="17" t="str">
        <x:v>Item comum</x:v>
      </x:c>
      <x:c r="H33" s="17" t="str">
        <x:v>Sim</x:v>
      </x:c>
      <x:c r="I33" s="21" t="n">
        <x:f>IF(D33&lt;&gt;"",D33,IF(E33&lt;&gt;"",E33,0))</x:f>
        <x:v>0.5</x:v>
      </x:c>
      <x:c r="J33" s="23" t="n">
        <x:f>IF(G33="Joia",Parametros!$B$3,IF(G33="Mágico",Parametros!$B$4,Parametros!$B$2))</x:f>
        <x:v>0.15</x:v>
      </x:c>
      <x:c r="K33" s="21" t="n">
        <x:f>IF(H33="Sim",I33*(1+J33),0)</x:f>
        <x:v>0.575</x:v>
      </x:c>
      <x:c r="L33" s="17"/>
    </x:row>
    <x:row r="34">
      <x:c r="A34" s="17" t="str">
        <x:v>Sala ao lado dos goblins mortos</x:v>
      </x:c>
      <x:c r="B34" s="17" t="str">
        <x:v>Caracol vivo</x:v>
      </x:c>
      <x:c r="C34" s="19" t="n">
        <x:v>1</x:v>
      </x:c>
      <x:c r="D34" s="21"/>
      <x:c r="E34" s="21" t="n">
        <x:v>1</x:v>
      </x:c>
      <x:c r="F34" s="17" t="str">
        <x:v>Animal/curiosidade; estimativa</x:v>
      </x:c>
      <x:c r="G34" s="17" t="str">
        <x:v>Especial</x:v>
      </x:c>
      <x:c r="H34" s="17" t="str">
        <x:v>Não</x:v>
      </x:c>
      <x:c r="I34" s="21" t="n">
        <x:f>IF(D34&lt;&gt;"",D34,IF(E34&lt;&gt;"",E34,0))</x:f>
        <x:v>1</x:v>
      </x:c>
      <x:c r="J34" s="23" t="n">
        <x:f>IF(G34="Joia",Parametros!$B$3,IF(G34="Mágico",Parametros!$B$4,Parametros!$B$2))</x:f>
        <x:v>0.15</x:v>
      </x:c>
      <x:c r="K34" s="21" t="n">
        <x:f>IF(H34="Sim",I34*(1+J34),0)</x:f>
        <x:v>0</x:v>
      </x:c>
      <x:c r="L34" s="17" t="str">
        <x:v>Manter com o grupo / confirmar antes de vender.</x:v>
      </x:c>
    </x:row>
    <x:row r="35">
      <x:c r="A35" s="17" t="str">
        <x:v>Goblins do topo</x:v>
      </x:c>
      <x:c r="B35" s="17" t="str">
        <x:v>2 cimitarras</x:v>
      </x:c>
      <x:c r="C35" s="19" t="n">
        <x:v>1</x:v>
      </x:c>
      <x:c r="D35" s="21"/>
      <x:c r="E35" s="21" t="n">
        <x:v>50</x:v>
      </x:c>
      <x:c r="F35" s="17" t="str">
        <x:v>2 × 25 gp (preço de lista)</x:v>
      </x:c>
      <x:c r="G35" s="17" t="str">
        <x:v>Item comum</x:v>
      </x:c>
      <x:c r="H35" s="17" t="str">
        <x:v>Sim</x:v>
      </x:c>
      <x:c r="I35" s="21" t="n">
        <x:f>IF(D35&lt;&gt;"",D35,IF(E35&lt;&gt;"",E35,0))</x:f>
        <x:v>50</x:v>
      </x:c>
      <x:c r="J35" s="23" t="n">
        <x:f>IF(G35="Joia",Parametros!$B$3,IF(G35="Mágico",Parametros!$B$4,Parametros!$B$2))</x:f>
        <x:v>0.15</x:v>
      </x:c>
      <x:c r="K35" s="21" t="n">
        <x:f>IF(H35="Sim",I35*(1+J35),0)</x:f>
        <x:v>57.49999999999999</x:v>
      </x:c>
      <x:c r="L35" s="17"/>
    </x:row>
    <x:row r="36">
      <x:c r="A36" s="17" t="str">
        <x:v>Goblins do topo</x:v>
      </x:c>
      <x:c r="B36" s="17" t="str">
        <x:v>3 arcos curtos</x:v>
      </x:c>
      <x:c r="C36" s="19" t="n">
        <x:v>1</x:v>
      </x:c>
      <x:c r="D36" s="21"/>
      <x:c r="E36" s="21" t="n">
        <x:v>75</x:v>
      </x:c>
      <x:c r="F36" s="17" t="str">
        <x:v>3 × 25 gp (preço de lista)</x:v>
      </x:c>
      <x:c r="G36" s="17" t="str">
        <x:v>Item comum</x:v>
      </x:c>
      <x:c r="H36" s="17" t="str">
        <x:v>Sim</x:v>
      </x:c>
      <x:c r="I36" s="21" t="n">
        <x:f>IF(D36&lt;&gt;"",D36,IF(E36&lt;&gt;"",E36,0))</x:f>
        <x:v>75</x:v>
      </x:c>
      <x:c r="J36" s="23" t="n">
        <x:f>IF(G36="Joia",Parametros!$B$3,IF(G36="Mágico",Parametros!$B$4,Parametros!$B$2))</x:f>
        <x:v>0.15</x:v>
      </x:c>
      <x:c r="K36" s="21" t="n">
        <x:f>IF(H36="Sim",I36*(1+J36),0)</x:f>
        <x:v>86.25</x:v>
      </x:c>
      <x:c r="L36" s="17"/>
    </x:row>
    <x:row r="37">
      <x:c r="A37" s="17" t="str">
        <x:v>Goblins do topo</x:v>
      </x:c>
      <x:c r="B37" s="17" t="str">
        <x:v>Concha de caracol bonita</x:v>
      </x:c>
      <x:c r="C37" s="19" t="n">
        <x:v>1</x:v>
      </x:c>
      <x:c r="D37" s="21"/>
      <x:c r="E37" s="21" t="n">
        <x:v>1</x:v>
      </x:c>
      <x:c r="F37" s="17" t="str">
        <x:v>Curiosidade decorativa; estimativa</x:v>
      </x:c>
      <x:c r="G37" s="17" t="str">
        <x:v>Item comum</x:v>
      </x:c>
      <x:c r="H37" s="17" t="str">
        <x:v>Sim</x:v>
      </x:c>
      <x:c r="I37" s="21" t="n">
        <x:f>IF(D37&lt;&gt;"",D37,IF(E37&lt;&gt;"",E37,0))</x:f>
        <x:v>1</x:v>
      </x:c>
      <x:c r="J37" s="23" t="n">
        <x:f>IF(G37="Joia",Parametros!$B$3,IF(G37="Mágico",Parametros!$B$4,Parametros!$B$2))</x:f>
        <x:v>0.15</x:v>
      </x:c>
      <x:c r="K37" s="21" t="n">
        <x:f>IF(H37="Sim",I37*(1+J37),0)</x:f>
        <x:v>1.15</x:v>
      </x:c>
      <x:c r="L37" s="17"/>
    </x:row>
    <x:row r="38">
      <x:c r="A38" s="17" t="str">
        <x:v>Caltrix</x:v>
      </x:c>
      <x:c r="B38" s="17" t="str">
        <x:v>Estátua de dragão em jade</x:v>
      </x:c>
      <x:c r="C38" s="19" t="n">
        <x:v>1</x:v>
      </x:c>
      <x:c r="D38" s="21" t="n">
        <x:v>20</x:v>
      </x:c>
      <x:c r="E38" s="21"/>
      <x:c r="F38" s="17" t="str">
        <x:v>Valor anotado</x:v>
      </x:c>
      <x:c r="G38" s="17" t="str">
        <x:v>Joia</x:v>
      </x:c>
      <x:c r="H38" s="17" t="str">
        <x:v>Sim</x:v>
      </x:c>
      <x:c r="I38" s="21" t="n">
        <x:f>IF(D38&lt;&gt;"",D38,IF(E38&lt;&gt;"",E38,0))</x:f>
        <x:v>20</x:v>
      </x:c>
      <x:c r="J38" s="23" t="n">
        <x:f>IF(G38="Joia",Parametros!$B$3,IF(G38="Mágico",Parametros!$B$4,Parametros!$B$2))</x:f>
        <x:v>0.05</x:v>
      </x:c>
      <x:c r="K38" s="21" t="n">
        <x:f>IF(H38="Sim",I38*(1+J38),0)</x:f>
        <x:v>21</x:v>
      </x:c>
      <x:c r="L38" s="17"/>
    </x:row>
    <x:row r="39">
      <x:c r="A39" s="17" t="str">
        <x:v>Caltrix</x:v>
      </x:c>
      <x:c r="B39" s="17" t="str">
        <x:v>Cálice de cristal</x:v>
      </x:c>
      <x:c r="C39" s="19" t="n">
        <x:v>1</x:v>
      </x:c>
      <x:c r="D39" s="21" t="n">
        <x:v>5</x:v>
      </x:c>
      <x:c r="E39" s="21"/>
      <x:c r="F39" s="17" t="str">
        <x:v>Valor anotado</x:v>
      </x:c>
      <x:c r="G39" s="17" t="str">
        <x:v>Arte</x:v>
      </x:c>
      <x:c r="H39" s="17" t="str">
        <x:v>Sim</x:v>
      </x:c>
      <x:c r="I39" s="21" t="n">
        <x:f>IF(D39&lt;&gt;"",D39,IF(E39&lt;&gt;"",E39,0))</x:f>
        <x:v>5</x:v>
      </x:c>
      <x:c r="J39" s="23" t="n">
        <x:f>IF(G39="Joia",Parametros!$B$3,IF(G39="Mágico",Parametros!$B$4,Parametros!$B$2))</x:f>
        <x:v>0.15</x:v>
      </x:c>
      <x:c r="K39" s="21" t="n">
        <x:f>IF(H39="Sim",I39*(1+J39),0)</x:f>
        <x:v>5.75</x:v>
      </x:c>
      <x:c r="L39" s="17"/>
    </x:row>
    <x:row r="40">
      <x:c r="A40" s="17" t="str">
        <x:v>Caltrix</x:v>
      </x:c>
      <x:c r="B40" s="17" t="str">
        <x:v>24 peças de prataria</x:v>
      </x:c>
      <x:c r="C40" s="19" t="n">
        <x:v>1</x:v>
      </x:c>
      <x:c r="D40" s="21" t="n">
        <x:v>24</x:v>
      </x:c>
      <x:c r="E40" s="21"/>
      <x:c r="F40" s="17" t="str">
        <x:v>24 × 1 gp anotado</x:v>
      </x:c>
      <x:c r="G40" s="17" t="str">
        <x:v>Arte</x:v>
      </x:c>
      <x:c r="H40" s="17" t="str">
        <x:v>Sim</x:v>
      </x:c>
      <x:c r="I40" s="21" t="n">
        <x:f>IF(D40&lt;&gt;"",D40,IF(E40&lt;&gt;"",E40,0))</x:f>
        <x:v>24</x:v>
      </x:c>
      <x:c r="J40" s="23" t="n">
        <x:f>IF(G40="Joia",Parametros!$B$3,IF(G40="Mágico",Parametros!$B$4,Parametros!$B$2))</x:f>
        <x:v>0.15</x:v>
      </x:c>
      <x:c r="K40" s="21" t="n">
        <x:f>IF(H40="Sim",I40*(1+J40),0)</x:f>
        <x:v>27.599999999999998</x:v>
      </x:c>
      <x:c r="L40" s="17"/>
    </x:row>
    <x:row r="41">
      <x:c r="A41" s="17" t="str">
        <x:v>Caltrix</x:v>
      </x:c>
      <x:c r="B41" s="17" t="str">
        <x:v>Case de scroll com runas anãs e papiro</x:v>
      </x:c>
      <x:c r="C41" s="19" t="n">
        <x:v>1</x:v>
      </x:c>
      <x:c r="D41" s="21"/>
      <x:c r="E41" s="21" t="n">
        <x:v>5</x:v>
      </x:c>
      <x:c r="F41" s="17" t="str">
        <x:v>Objeto histórico; estimativa baixa (papiro incompleto)</x:v>
      </x:c>
      <x:c r="G41" s="17" t="str">
        <x:v>Lore</x:v>
      </x:c>
      <x:c r="H41" s="17" t="str">
        <x:v>Não</x:v>
      </x:c>
      <x:c r="I41" s="21" t="n">
        <x:f>IF(D41&lt;&gt;"",D41,IF(E41&lt;&gt;"",E41,0))</x:f>
        <x:v>5</x:v>
      </x:c>
      <x:c r="J41" s="23" t="n">
        <x:f>IF(G41="Joia",Parametros!$B$3,IF(G41="Mágico",Parametros!$B$4,Parametros!$B$2))</x:f>
        <x:v>0.15</x:v>
      </x:c>
      <x:c r="K41" s="21" t="n">
        <x:f>IF(H41="Sim",I41*(1+J41),0)</x:f>
        <x:v>0</x:v>
      </x:c>
      <x:c r="L41" s="17" t="str">
        <x:v>Manter com o grupo / confirmar antes de vender.</x:v>
      </x:c>
    </x:row>
    <x:row r="42">
      <x:c r="A42" s="17" t="str">
        <x:v>Kobold Rainha</x:v>
      </x:c>
      <x:c r="B42" s="17" t="str">
        <x:v>Chave mágica</x:v>
      </x:c>
      <x:c r="C42" s="19" t="n">
        <x:v>1</x:v>
      </x:c>
      <x:c r="D42" s="21"/>
      <x:c r="E42" s="21" t="n">
        <x:v>50</x:v>
      </x:c>
      <x:c r="F42" s="17" t="str">
        <x:v>Valor incerto; pode abrir área relevante</x:v>
      </x:c>
      <x:c r="G42" s="17" t="str">
        <x:v>Mágico</x:v>
      </x:c>
      <x:c r="H42" s="17" t="str">
        <x:v>Não</x:v>
      </x:c>
      <x:c r="I42" s="21" t="n">
        <x:f>IF(D42&lt;&gt;"",D42,IF(E42&lt;&gt;"",E42,0))</x:f>
        <x:v>50</x:v>
      </x:c>
      <x:c r="J42" s="23" t="n">
        <x:f>IF(G42="Joia",Parametros!$B$3,IF(G42="Mágico",Parametros!$B$4,Parametros!$B$2))</x:f>
        <x:v>0.15</x:v>
      </x:c>
      <x:c r="K42" s="21" t="n">
        <x:f>IF(H42="Sim",I42*(1+J42),0)</x:f>
        <x:v>0</x:v>
      </x:c>
      <x:c r="L42" s="17" t="str">
        <x:v>Manter com o grupo / confirmar antes de vender.</x:v>
      </x:c>
    </x:row>
    <x:row r="43">
      <x:c r="A43" s="17" t="str">
        <x:v>Kobold Rainha</x:v>
      </x:c>
      <x:c r="B43" s="17" t="str">
        <x:v>Quaal's Feather Token (Tree)</x:v>
      </x:c>
      <x:c r="C43" s="19" t="n">
        <x:v>1</x:v>
      </x:c>
      <x:c r="D43" s="21"/>
      <x:c r="E43" s="21" t="n">
        <x:v>500</x:v>
      </x:c>
      <x:c r="F43" s="17" t="str">
        <x:v>Item mágico incomum; estimativa de referência</x:v>
      </x:c>
      <x:c r="G43" s="17" t="str">
        <x:v>Mágico</x:v>
      </x:c>
      <x:c r="H43" s="17" t="str">
        <x:v>Não</x:v>
      </x:c>
      <x:c r="I43" s="21" t="n">
        <x:f>IF(D43&lt;&gt;"",D43,IF(E43&lt;&gt;"",E43,0))</x:f>
        <x:v>500</x:v>
      </x:c>
      <x:c r="J43" s="23" t="n">
        <x:f>IF(G43="Joia",Parametros!$B$3,IF(G43="Mágico",Parametros!$B$4,Parametros!$B$2))</x:f>
        <x:v>0.15</x:v>
      </x:c>
      <x:c r="K43" s="21" t="n">
        <x:f>IF(H43="Sim",I43*(1+J43),0)</x:f>
        <x:v>0</x:v>
      </x:c>
      <x:c r="L43" s="17" t="str">
        <x:v>Manter com o grupo / confirmar antes de vender.</x:v>
      </x:c>
    </x:row>
    <x:row r="44">
      <x:c r="A44" s="17" t="str">
        <x:v>Kobold Rainha</x:v>
      </x:c>
      <x:c r="B44" s="17" t="str">
        <x:v>Scroll: Mage Armor</x:v>
      </x:c>
      <x:c r="C44" s="19" t="n">
        <x:v>1</x:v>
      </x:c>
      <x:c r="D44" s="21"/>
      <x:c r="E44" s="21" t="n">
        <x:v>50</x:v>
      </x:c>
      <x:c r="F44" s="17" t="str">
        <x:v>Pergaminho mágico nível 1; estimativa</x:v>
      </x:c>
      <x:c r="G44" s="17" t="str">
        <x:v>Mágico</x:v>
      </x:c>
      <x:c r="H44" s="17" t="str">
        <x:v>Não</x:v>
      </x:c>
      <x:c r="I44" s="21" t="n">
        <x:f>IF(D44&lt;&gt;"",D44,IF(E44&lt;&gt;"",E44,0))</x:f>
        <x:v>50</x:v>
      </x:c>
      <x:c r="J44" s="23" t="n">
        <x:f>IF(G44="Joia",Parametros!$B$3,IF(G44="Mágico",Parametros!$B$4,Parametros!$B$2))</x:f>
        <x:v>0.15</x:v>
      </x:c>
      <x:c r="K44" s="21" t="n">
        <x:f>IF(H44="Sim",I44*(1+J44),0)</x:f>
        <x:v>0</x:v>
      </x:c>
      <x:c r="L44" s="17" t="str">
        <x:v>Manter com o grupo / confirmar antes de vender.</x:v>
      </x:c>
    </x:row>
    <x:row r="45">
      <x:c r="A45" s="17" t="str">
        <x:v>Kobold Rainha</x:v>
      </x:c>
      <x:c r="B45" s="17" t="str">
        <x:v>Scroll: Spider Climb</x:v>
      </x:c>
      <x:c r="C45" s="19" t="n">
        <x:v>1</x:v>
      </x:c>
      <x:c r="D45" s="21"/>
      <x:c r="E45" s="21" t="n">
        <x:v>50</x:v>
      </x:c>
      <x:c r="F45" s="17" t="str">
        <x:v>Pergaminho mágico nível 2; estimativa</x:v>
      </x:c>
      <x:c r="G45" s="17" t="str">
        <x:v>Mágico</x:v>
      </x:c>
      <x:c r="H45" s="17" t="str">
        <x:v>Não</x:v>
      </x:c>
      <x:c r="I45" s="21" t="n">
        <x:f>IF(D45&lt;&gt;"",D45,IF(E45&lt;&gt;"",E45,0))</x:f>
        <x:v>50</x:v>
      </x:c>
      <x:c r="J45" s="23" t="n">
        <x:f>IF(G45="Joia",Parametros!$B$3,IF(G45="Mágico",Parametros!$B$4,Parametros!$B$2))</x:f>
        <x:v>0.15</x:v>
      </x:c>
      <x:c r="K45" s="21" t="n">
        <x:f>IF(H45="Sim",I45*(1+J45),0)</x:f>
        <x:v>0</x:v>
      </x:c>
      <x:c r="L45" s="17" t="str">
        <x:v>Manter com o grupo / confirmar antes de vender.</x:v>
      </x:c>
    </x:row>
    <x:row r="46">
      <x:c r="A46" s="17" t="str">
        <x:v>Kobold Rainha</x:v>
      </x:c>
      <x:c r="B46" s="17" t="str">
        <x:v>Scroll: Knock</x:v>
      </x:c>
      <x:c r="C46" s="19" t="n">
        <x:v>1</x:v>
      </x:c>
      <x:c r="D46" s="21"/>
      <x:c r="E46" s="21" t="n">
        <x:v>50</x:v>
      </x:c>
      <x:c r="F46" s="17" t="str">
        <x:v>Pergaminho mágico nível 2; estimativa</x:v>
      </x:c>
      <x:c r="G46" s="17" t="str">
        <x:v>Mágico</x:v>
      </x:c>
      <x:c r="H46" s="17" t="str">
        <x:v>Não</x:v>
      </x:c>
      <x:c r="I46" s="21" t="n">
        <x:f>IF(D46&lt;&gt;"",D46,IF(E46&lt;&gt;"",E46,0))</x:f>
        <x:v>50</x:v>
      </x:c>
      <x:c r="J46" s="23" t="n">
        <x:f>IF(G46="Joia",Parametros!$B$3,IF(G46="Mágico",Parametros!$B$4,Parametros!$B$2))</x:f>
        <x:v>0.15</x:v>
      </x:c>
      <x:c r="K46" s="21" t="n">
        <x:f>IF(H46="Sim",I46*(1+J46),0)</x:f>
        <x:v>0</x:v>
      </x:c>
      <x:c r="L46" s="17" t="str">
        <x:v>Manter com o grupo / confirmar antes de vender.</x:v>
      </x:c>
    </x:row>
    <x:row r="47">
      <x:c r="A47" s="17" t="str">
        <x:v>Kobold Rainha</x:v>
      </x:c>
      <x:c r="B47" s="17" t="str">
        <x:v>Elixir of Health (3 doses)</x:v>
      </x:c>
      <x:c r="C47" s="19" t="n">
        <x:v>1</x:v>
      </x:c>
      <x:c r="D47" s="21"/>
      <x:c r="E47" s="21" t="n">
        <x:v>600</x:v>
      </x:c>
      <x:c r="F47" s="17" t="str">
        <x:v>Estimativa: 200 gp por dose; confirmar mesa</x:v>
      </x:c>
      <x:c r="G47" s="17" t="str">
        <x:v>Mágico</x:v>
      </x:c>
      <x:c r="H47" s="17" t="str">
        <x:v>Não</x:v>
      </x:c>
      <x:c r="I47" s="21" t="n">
        <x:f>IF(D47&lt;&gt;"",D47,IF(E47&lt;&gt;"",E47,0))</x:f>
        <x:v>600</x:v>
      </x:c>
      <x:c r="J47" s="23" t="n">
        <x:f>IF(G47="Joia",Parametros!$B$3,IF(G47="Mágico",Parametros!$B$4,Parametros!$B$2))</x:f>
        <x:v>0.15</x:v>
      </x:c>
      <x:c r="K47" s="21" t="n">
        <x:f>IF(H47="Sim",I47*(1+J47),0)</x:f>
        <x:v>0</x:v>
      </x:c>
      <x:c r="L47" s="17" t="str">
        <x:v>Manter com o grupo / confirmar antes de vender.</x:v>
      </x:c>
    </x:row>
    <x:row r="48">
      <x:c r="A48" s="17" t="str">
        <x:v>Kobold Rainha — baú</x:v>
      </x:c>
      <x:c r="B48" s="17" t="str">
        <x:v>Moedas: 35 gp</x:v>
      </x:c>
      <x:c r="C48" s="19" t="n">
        <x:v>1</x:v>
      </x:c>
      <x:c r="D48" s="21" t="n">
        <x:v>35</x:v>
      </x:c>
      <x:c r="E48" s="21"/>
      <x:c r="F48" s="17" t="str">
        <x:v>Valor anotado</x:v>
      </x:c>
      <x:c r="G48" s="17" t="str">
        <x:v>Moedas</x:v>
      </x:c>
      <x:c r="H48" s="17" t="str">
        <x:v>Não</x:v>
      </x:c>
      <x:c r="I48" s="21" t="n">
        <x:f>IF(D48&lt;&gt;"",D48,IF(E48&lt;&gt;"",E48,0))</x:f>
        <x:v>35</x:v>
      </x:c>
      <x:c r="J48" s="23" t="n">
        <x:f>IF(G48="Joia",Parametros!$B$3,IF(G48="Mágico",Parametros!$B$4,Parametros!$B$2))</x:f>
        <x:v>0.15</x:v>
      </x:c>
      <x:c r="K48" s="21" t="n">
        <x:f>IF(H48="Sim",I48*(1+J48),0)</x:f>
        <x:v>0</x:v>
      </x:c>
      <x:c r="L48" s="17"/>
    </x:row>
    <x:row r="49">
      <x:c r="A49" s="17" t="str">
        <x:v>Troll</x:v>
      </x:c>
      <x:c r="B49" s="17" t="str">
        <x:v>Moedas: 220 pp</x:v>
      </x:c>
      <x:c r="C49" s="19" t="n">
        <x:v>1</x:v>
      </x:c>
      <x:c r="D49" s="21" t="n">
        <x:v>22</x:v>
      </x:c>
      <x:c r="E49" s="21"/>
      <x:c r="F49" s="17" t="str">
        <x:v>220 pp × 0,1 gp</x:v>
      </x:c>
      <x:c r="G49" s="17" t="str">
        <x:v>Moedas</x:v>
      </x:c>
      <x:c r="H49" s="17" t="str">
        <x:v>Não</x:v>
      </x:c>
      <x:c r="I49" s="21" t="n">
        <x:f>IF(D49&lt;&gt;"",D49,IF(E49&lt;&gt;"",E49,0))</x:f>
        <x:v>22</x:v>
      </x:c>
      <x:c r="J49" s="23" t="n">
        <x:f>IF(G49="Joia",Parametros!$B$3,IF(G49="Mágico",Parametros!$B$4,Parametros!$B$2))</x:f>
        <x:v>0.15</x:v>
      </x:c>
      <x:c r="K49" s="21" t="n">
        <x:f>IF(H49="Sim",I49*(1+J49),0)</x:f>
        <x:v>0</x:v>
      </x:c>
      <x:c r="L49" s="17"/>
    </x:row>
    <x:row r="50">
      <x:c r="A50" s="17" t="str">
        <x:v>Troll</x:v>
      </x:c>
      <x:c r="B50" s="17" t="str">
        <x:v>Moedas: 50 gp</x:v>
      </x:c>
      <x:c r="C50" s="19" t="n">
        <x:v>1</x:v>
      </x:c>
      <x:c r="D50" s="21" t="n">
        <x:v>50</x:v>
      </x:c>
      <x:c r="E50" s="21"/>
      <x:c r="F50" s="17" t="str">
        <x:v>Valor anotado</x:v>
      </x:c>
      <x:c r="G50" s="17" t="str">
        <x:v>Moedas</x:v>
      </x:c>
      <x:c r="H50" s="17" t="str">
        <x:v>Não</x:v>
      </x:c>
      <x:c r="I50" s="21" t="n">
        <x:f>IF(D50&lt;&gt;"",D50,IF(E50&lt;&gt;"",E50,0))</x:f>
        <x:v>50</x:v>
      </x:c>
      <x:c r="J50" s="23" t="n">
        <x:f>IF(G50="Joia",Parametros!$B$3,IF(G50="Mágico",Parametros!$B$4,Parametros!$B$2))</x:f>
        <x:v>0.15</x:v>
      </x:c>
      <x:c r="K50" s="21" t="n">
        <x:f>IF(H50="Sim",I50*(1+J50),0)</x:f>
        <x:v>0</x:v>
      </x:c>
      <x:c r="L50" s="17"/>
    </x:row>
    <x:row r="51">
      <x:c r="A51" s="17" t="str">
        <x:v>Troll</x:v>
      </x:c>
      <x:c r="B51" s="17" t="str">
        <x:v>Tocha permanente de fogo verde</x:v>
      </x:c>
      <x:c r="C51" s="19" t="n">
        <x:v>1</x:v>
      </x:c>
      <x:c r="D51" s="21"/>
      <x:c r="E51" s="21" t="n">
        <x:v>50</x:v>
      </x:c>
      <x:c r="F51" s="17" t="str">
        <x:v>Item mágico menor; estimativa</x:v>
      </x:c>
      <x:c r="G51" s="17" t="str">
        <x:v>Mágico</x:v>
      </x:c>
      <x:c r="H51" s="17" t="str">
        <x:v>Não</x:v>
      </x:c>
      <x:c r="I51" s="21" t="n">
        <x:f>IF(D51&lt;&gt;"",D51,IF(E51&lt;&gt;"",E51,0))</x:f>
        <x:v>50</x:v>
      </x:c>
      <x:c r="J51" s="23" t="n">
        <x:f>IF(G51="Joia",Parametros!$B$3,IF(G51="Mágico",Parametros!$B$4,Parametros!$B$2))</x:f>
        <x:v>0.15</x:v>
      </x:c>
      <x:c r="K51" s="21" t="n">
        <x:f>IF(H51="Sim",I51*(1+J51),0)</x:f>
        <x:v>0</x:v>
      </x:c>
      <x:c r="L51" s="17" t="str">
        <x:v>Manter com o grupo / confirmar antes de vender.</x:v>
      </x:c>
    </x:row>
    <x:row r="52">
      <x:c r="A52" s="17" t="str">
        <x:v>Troll</x:v>
      </x:c>
      <x:c r="B52" s="17" t="str">
        <x:v>Adaga com runas élficas/dracônicas</x:v>
      </x:c>
      <x:c r="C52" s="19" t="n">
        <x:v>1</x:v>
      </x:c>
      <x:c r="D52" s="21" t="n">
        <x:v>125</x:v>
      </x:c>
      <x:c r="E52" s="21"/>
      <x:c r="F52" s="17" t="str">
        <x:v>Valor anotado</x:v>
      </x:c>
      <x:c r="G52" s="17" t="str">
        <x:v>Especial</x:v>
      </x:c>
      <x:c r="H52" s="17" t="str">
        <x:v>Não</x:v>
      </x:c>
      <x:c r="I52" s="21" t="n">
        <x:f>IF(D52&lt;&gt;"",D52,IF(E52&lt;&gt;"",E52,0))</x:f>
        <x:v>125</x:v>
      </x:c>
      <x:c r="J52" s="23" t="n">
        <x:f>IF(G52="Joia",Parametros!$B$3,IF(G52="Mágico",Parametros!$B$4,Parametros!$B$2))</x:f>
        <x:v>0.15</x:v>
      </x:c>
      <x:c r="K52" s="21" t="n">
        <x:f>IF(H52="Sim",I52*(1+J52),0)</x:f>
        <x:v>0</x:v>
      </x:c>
      <x:c r="L52" s="17" t="str">
        <x:v>Manter com o grupo / confirmar antes de vender.</x:v>
      </x:c>
    </x:row>
    <x:row r="53">
      <x:c r="A53" s="17" t="str">
        <x:v>Troll</x:v>
      </x:c>
      <x:c r="B53" s="17" t="str">
        <x:v>3 anéis</x:v>
      </x:c>
      <x:c r="C53" s="19" t="n">
        <x:v>1</x:v>
      </x:c>
      <x:c r="D53" s="21" t="n">
        <x:v>15</x:v>
      </x:c>
      <x:c r="E53" s="21"/>
      <x:c r="F53" s="17" t="str">
        <x:v>Valor anotado (lote)</x:v>
      </x:c>
      <x:c r="G53" s="17" t="str">
        <x:v>Joia</x:v>
      </x:c>
      <x:c r="H53" s="17" t="str">
        <x:v>Sim</x:v>
      </x:c>
      <x:c r="I53" s="21" t="n">
        <x:f>IF(D53&lt;&gt;"",D53,IF(E53&lt;&gt;"",E53,0))</x:f>
        <x:v>15</x:v>
      </x:c>
      <x:c r="J53" s="23" t="n">
        <x:f>IF(G53="Joia",Parametros!$B$3,IF(G53="Mágico",Parametros!$B$4,Parametros!$B$2))</x:f>
        <x:v>0.05</x:v>
      </x:c>
      <x:c r="K53" s="21" t="n">
        <x:f>IF(H53="Sim",I53*(1+J53),0)</x:f>
        <x:v>15.75</x:v>
      </x:c>
      <x:c r="L53" s="17"/>
    </x:row>
    <x:row r="54">
      <x:c r="A54" s="17" t="str">
        <x:v>Troll</x:v>
      </x:c>
      <x:c r="B54" s="17" t="str">
        <x:v>Amuleto de prata de Achardalon</x:v>
      </x:c>
      <x:c r="C54" s="19" t="n">
        <x:v>1</x:v>
      </x:c>
      <x:c r="D54" s="21" t="n">
        <x:v>15</x:v>
      </x:c>
      <x:c r="E54" s="21"/>
      <x:c r="F54" s="17" t="str">
        <x:v>Valor anotado; relevância histórica</x:v>
      </x:c>
      <x:c r="G54" s="17" t="str">
        <x:v>Item de missão</x:v>
      </x:c>
      <x:c r="H54" s="17" t="str">
        <x:v>Não</x:v>
      </x:c>
      <x:c r="I54" s="21" t="n">
        <x:f>IF(D54&lt;&gt;"",D54,IF(E54&lt;&gt;"",E54,0))</x:f>
        <x:v>15</x:v>
      </x:c>
      <x:c r="J54" s="23" t="n">
        <x:f>IF(G54="Joia",Parametros!$B$3,IF(G54="Mágico",Parametros!$B$4,Parametros!$B$2))</x:f>
        <x:v>0.15</x:v>
      </x:c>
      <x:c r="K54" s="21" t="n">
        <x:f>IF(H54="Sim",I54*(1+J54),0)</x:f>
        <x:v>0</x:v>
      </x:c>
      <x:c r="L54" s="17" t="str">
        <x:v>Manter com o grupo / confirmar antes de vender.</x:v>
      </x:c>
    </x:row>
    <x:row r="55">
      <x:c r="A55" s="17" t="str">
        <x:v>Troll</x:v>
      </x:c>
      <x:c r="B55" s="17" t="str">
        <x:v>Scroll: Command</x:v>
      </x:c>
      <x:c r="C55" s="19" t="n">
        <x:v>1</x:v>
      </x:c>
      <x:c r="D55" s="21"/>
      <x:c r="E55" s="21" t="n">
        <x:v>50</x:v>
      </x:c>
      <x:c r="F55" s="17" t="str">
        <x:v>Pergaminho mágico nível 1; estimativa</x:v>
      </x:c>
      <x:c r="G55" s="17" t="str">
        <x:v>Mágico</x:v>
      </x:c>
      <x:c r="H55" s="17" t="str">
        <x:v>Não</x:v>
      </x:c>
      <x:c r="I55" s="21" t="n">
        <x:f>IF(D55&lt;&gt;"",D55,IF(E55&lt;&gt;"",E55,0))</x:f>
        <x:v>50</x:v>
      </x:c>
      <x:c r="J55" s="23" t="n">
        <x:f>IF(G55="Joia",Parametros!$B$3,IF(G55="Mágico",Parametros!$B$4,Parametros!$B$2))</x:f>
        <x:v>0.15</x:v>
      </x:c>
      <x:c r="K55" s="21" t="n">
        <x:f>IF(H55="Sim",I55*(1+J55),0)</x:f>
        <x:v>0</x:v>
      </x:c>
      <x:c r="L55" s="17" t="str">
        <x:v>Manter com o grupo / confirmar antes de vender.</x:v>
      </x:c>
    </x:row>
    <x:row r="56">
      <x:c r="A56" s="17" t="str">
        <x:v>Troll</x:v>
      </x:c>
      <x:c r="B56" s="17" t="str">
        <x:v>Scroll: Cure Wounds nível 2</x:v>
      </x:c>
      <x:c r="C56" s="19" t="n">
        <x:v>1</x:v>
      </x:c>
      <x:c r="D56" s="21"/>
      <x:c r="E56" s="21" t="n">
        <x:v>100</x:v>
      </x:c>
      <x:c r="F56" s="17" t="str">
        <x:v>Pergaminho mágico nível 2; estimativa</x:v>
      </x:c>
      <x:c r="G56" s="17" t="str">
        <x:v>Mágico</x:v>
      </x:c>
      <x:c r="H56" s="17" t="str">
        <x:v>Não</x:v>
      </x:c>
      <x:c r="I56" s="21" t="n">
        <x:f>IF(D56&lt;&gt;"",D56,IF(E56&lt;&gt;"",E56,0))</x:f>
        <x:v>100</x:v>
      </x:c>
      <x:c r="J56" s="23" t="n">
        <x:f>IF(G56="Joia",Parametros!$B$3,IF(G56="Mágico",Parametros!$B$4,Parametros!$B$2))</x:f>
        <x:v>0.15</x:v>
      </x:c>
      <x:c r="K56" s="21" t="n">
        <x:f>IF(H56="Sim",I56*(1+J56),0)</x:f>
        <x:v>0</x:v>
      </x:c>
      <x:c r="L56" s="17" t="str">
        <x:v>Manter com o grupo / confirmar antes de vender.</x:v>
      </x:c>
    </x:row>
    <x:row r="57">
      <x:c r="A57" s="17" t="str">
        <x:v>Troll</x:v>
      </x:c>
      <x:c r="B57" s="17" t="str">
        <x:v>Scroll: Inflict Wounds nível 2</x:v>
      </x:c>
      <x:c r="C57" s="19" t="n">
        <x:v>1</x:v>
      </x:c>
      <x:c r="D57" s="21"/>
      <x:c r="E57" s="21" t="n">
        <x:v>100</x:v>
      </x:c>
      <x:c r="F57" s="17" t="str">
        <x:v>Pergaminho mágico nível 2; estimativa</x:v>
      </x:c>
      <x:c r="G57" s="17" t="str">
        <x:v>Mágico</x:v>
      </x:c>
      <x:c r="H57" s="17" t="str">
        <x:v>Não</x:v>
      </x:c>
      <x:c r="I57" s="21" t="n">
        <x:f>IF(D57&lt;&gt;"",D57,IF(E57&lt;&gt;"",E57,0))</x:f>
        <x:v>100</x:v>
      </x:c>
      <x:c r="J57" s="23" t="n">
        <x:f>IF(G57="Joia",Parametros!$B$3,IF(G57="Mágico",Parametros!$B$4,Parametros!$B$2))</x:f>
        <x:v>0.15</x:v>
      </x:c>
      <x:c r="K57" s="21" t="n">
        <x:f>IF(H57="Sim",I57*(1+J57),0)</x:f>
        <x:v>0</x:v>
      </x:c>
      <x:c r="L57" s="17" t="str">
        <x:v>Manter com o grupo / confirmar antes de vender.</x:v>
      </x:c>
    </x:row>
    <x:row r="58">
      <x:c r="A58" s="17" t="str">
        <x:v>Troll</x:v>
      </x:c>
      <x:c r="B58" s="17" t="str">
        <x:v>Scroll: Guiding Bolt nível 2</x:v>
      </x:c>
      <x:c r="C58" s="19" t="n">
        <x:v>1</x:v>
      </x:c>
      <x:c r="D58" s="21"/>
      <x:c r="E58" s="21" t="n">
        <x:v>100</x:v>
      </x:c>
      <x:c r="F58" s="17" t="str">
        <x:v>Pergaminho mágico nível 2; estimativa</x:v>
      </x:c>
      <x:c r="G58" s="17" t="str">
        <x:v>Mágico</x:v>
      </x:c>
      <x:c r="H58" s="17" t="str">
        <x:v>Não</x:v>
      </x:c>
      <x:c r="I58" s="21" t="n">
        <x:f>IF(D58&lt;&gt;"",D58,IF(E58&lt;&gt;"",E58,0))</x:f>
        <x:v>100</x:v>
      </x:c>
      <x:c r="J58" s="23" t="n">
        <x:f>IF(G58="Joia",Parametros!$B$3,IF(G58="Mágico",Parametros!$B$4,Parametros!$B$2))</x:f>
        <x:v>0.15</x:v>
      </x:c>
      <x:c r="K58" s="21" t="n">
        <x:f>IF(H58="Sim",I58*(1+J58),0)</x:f>
        <x:v>0</x:v>
      </x:c>
      <x:c r="L58" s="17" t="str">
        <x:v>Manter com o grupo / confirmar antes de vender.</x:v>
      </x:c>
    </x:row>
    <x:row r="59">
      <x:c r="A59" s="17" t="str">
        <x:v>Sala da caldeira</x:v>
      </x:c>
      <x:c r="B59" s="17" t="str">
        <x:v>5 safiras</x:v>
      </x:c>
      <x:c r="C59" s="19" t="n">
        <x:v>1</x:v>
      </x:c>
      <x:c r="D59" s="21" t="n">
        <x:v>50</x:v>
      </x:c>
      <x:c r="E59" s="21"/>
      <x:c r="F59" s="17" t="str">
        <x:v>5 × 10 gp anotados</x:v>
      </x:c>
      <x:c r="G59" s="17" t="str">
        <x:v>Joia</x:v>
      </x:c>
      <x:c r="H59" s="17" t="str">
        <x:v>Sim</x:v>
      </x:c>
      <x:c r="I59" s="21" t="n">
        <x:f>IF(D59&lt;&gt;"",D59,IF(E59&lt;&gt;"",E59,0))</x:f>
        <x:v>50</x:v>
      </x:c>
      <x:c r="J59" s="23" t="n">
        <x:f>IF(G59="Joia",Parametros!$B$3,IF(G59="Mágico",Parametros!$B$4,Parametros!$B$2))</x:f>
        <x:v>0.05</x:v>
      </x:c>
      <x:c r="K59" s="21" t="n">
        <x:f>IF(H59="Sim",I59*(1+J59),0)</x:f>
        <x:v>52.5</x:v>
      </x:c>
      <x:c r="L59" s="17"/>
    </x:row>
    <x:row r="60">
      <x:c r="A60" s="17" t="str">
        <x:v>Sala da caldeira</x:v>
      </x:c>
      <x:c r="B60" s="17" t="str">
        <x:v>Ferro (1 kg)</x:v>
      </x:c>
      <x:c r="C60" s="19" t="n">
        <x:v>1</x:v>
      </x:c>
      <x:c r="D60" s="21"/>
      <x:c r="E60" s="21" t="n">
        <x:v>0.2</x:v>
      </x:c>
      <x:c r="F60" s="17" t="str">
        <x:v>Ferro bruto estimado: 0,1 gp/lb</x:v>
      </x:c>
      <x:c r="G60" s="17" t="str">
        <x:v>Item comum</x:v>
      </x:c>
      <x:c r="H60" s="17" t="str">
        <x:v>Sim</x:v>
      </x:c>
      <x:c r="I60" s="21" t="n">
        <x:f>IF(D60&lt;&gt;"",D60,IF(E60&lt;&gt;"",E60,0))</x:f>
        <x:v>0.2</x:v>
      </x:c>
      <x:c r="J60" s="23" t="n">
        <x:f>IF(G60="Joia",Parametros!$B$3,IF(G60="Mágico",Parametros!$B$4,Parametros!$B$2))</x:f>
        <x:v>0.15</x:v>
      </x:c>
      <x:c r="K60" s="21" t="n">
        <x:f>IF(H60="Sim",I60*(1+J60),0)</x:f>
        <x:v>0.22999999999999998</x:v>
      </x:c>
      <x:c r="L60" s="17"/>
    </x:row>
    <x:row r="61">
      <x:c r="A61" s="17" t="str">
        <x:v>Goblins com buraco</x:v>
      </x:c>
      <x:c r="B61" s="17" t="str">
        <x:v>Moedas: 231 gp</x:v>
      </x:c>
      <x:c r="C61" s="19" t="n">
        <x:v>1</x:v>
      </x:c>
      <x:c r="D61" s="21" t="n">
        <x:v>231</x:v>
      </x:c>
      <x:c r="E61" s="21"/>
      <x:c r="F61" s="17" t="str">
        <x:v>Valor anotado</x:v>
      </x:c>
      <x:c r="G61" s="17" t="str">
        <x:v>Moedas</x:v>
      </x:c>
      <x:c r="H61" s="17" t="str">
        <x:v>Não</x:v>
      </x:c>
      <x:c r="I61" s="21" t="n">
        <x:f>IF(D61&lt;&gt;"",D61,IF(E61&lt;&gt;"",E61,0))</x:f>
        <x:v>231</x:v>
      </x:c>
      <x:c r="J61" s="23" t="n">
        <x:f>IF(G61="Joia",Parametros!$B$3,IF(G61="Mágico",Parametros!$B$4,Parametros!$B$2))</x:f>
        <x:v>0.15</x:v>
      </x:c>
      <x:c r="K61" s="21" t="n">
        <x:f>IF(H61="Sim",I61*(1+J61),0)</x:f>
        <x:v>0</x:v>
      </x:c>
      <x:c r="L61" s="17"/>
    </x:row>
    <x:row r="62">
      <x:c r="A62" s="17" t="str">
        <x:v>Goblins com buraco</x:v>
      </x:c>
      <x:c r="B62" s="17" t="str">
        <x:v>Anel de Talgen</x:v>
      </x:c>
      <x:c r="C62" s="19" t="n">
        <x:v>1</x:v>
      </x:c>
      <x:c r="D62" s="21"/>
      <x:c r="E62" s="21" t="n">
        <x:v>25</x:v>
      </x:c>
      <x:c r="F62" s="17" t="str">
        <x:v>Pertence a Talgen; não vender</x:v>
      </x:c>
      <x:c r="G62" s="17" t="str">
        <x:v>Item de missão</x:v>
      </x:c>
      <x:c r="H62" s="17" t="str">
        <x:v>Não</x:v>
      </x:c>
      <x:c r="I62" s="21" t="n">
        <x:f>IF(D62&lt;&gt;"",D62,IF(E62&lt;&gt;"",E62,0))</x:f>
        <x:v>25</x:v>
      </x:c>
      <x:c r="J62" s="23" t="n">
        <x:f>IF(G62="Joia",Parametros!$B$3,IF(G62="Mágico",Parametros!$B$4,Parametros!$B$2))</x:f>
        <x:v>0.15</x:v>
      </x:c>
      <x:c r="K62" s="21" t="n">
        <x:f>IF(H62="Sim",I62*(1+J62),0)</x:f>
        <x:v>0</x:v>
      </x:c>
      <x:c r="L62" s="17" t="str">
        <x:v>Manter com o grupo / confirmar antes de vender.</x:v>
      </x:c>
    </x:row>
    <x:row r="63">
      <x:c r="A63" s="17" t="str">
        <x:v>Goblins com buraco</x:v>
      </x:c>
      <x:c r="B63" s="17" t="str">
        <x:v>Chaves menores</x:v>
      </x:c>
      <x:c r="C63" s="19" t="n">
        <x:v>1</x:v>
      </x:c>
      <x:c r="D63" s="21"/>
      <x:c r="E63" s="21" t="n">
        <x:v>0</x:v>
      </x:c>
      <x:c r="F63" s="17" t="str">
        <x:v>Chaves de dungeon; sem venda até confirmar uso</x:v>
      </x:c>
      <x:c r="G63" s="17" t="str">
        <x:v>Item de missão</x:v>
      </x:c>
      <x:c r="H63" s="17" t="str">
        <x:v>Não</x:v>
      </x:c>
      <x:c r="I63" s="21" t="n">
        <x:f>IF(D63&lt;&gt;"",D63,IF(E63&lt;&gt;"",E63,0))</x:f>
        <x:v>0</x:v>
      </x:c>
      <x:c r="J63" s="23" t="n">
        <x:f>IF(G63="Joia",Parametros!$B$3,IF(G63="Mágico",Parametros!$B$4,Parametros!$B$2))</x:f>
        <x:v>0.15</x:v>
      </x:c>
      <x:c r="K63" s="21" t="n">
        <x:f>IF(H63="Sim",I63*(1+J63),0)</x:f>
        <x:v>0</x:v>
      </x:c>
      <x:c r="L63" s="17" t="str">
        <x:v>Manter com o grupo / confirmar antes de vender.</x:v>
      </x:c>
    </x:row>
    <x:row r="64">
      <x:c r="A64" s="17" t="str">
        <x:v>Goblins com buraco</x:v>
      </x:c>
      <x:c r="B64" s="17" t="str">
        <x:v>Brincos de prata com moonstone</x:v>
      </x:c>
      <x:c r="C64" s="19" t="n">
        <x:v>1</x:v>
      </x:c>
      <x:c r="D64" s="21" t="n">
        <x:v>40</x:v>
      </x:c>
      <x:c r="E64" s="21"/>
      <x:c r="F64" s="17" t="str">
        <x:v>Valor anotado</x:v>
      </x:c>
      <x:c r="G64" s="17" t="str">
        <x:v>Joia</x:v>
      </x:c>
      <x:c r="H64" s="17" t="str">
        <x:v>Sim</x:v>
      </x:c>
      <x:c r="I64" s="21" t="n">
        <x:f>IF(D64&lt;&gt;"",D64,IF(E64&lt;&gt;"",E64,0))</x:f>
        <x:v>40</x:v>
      </x:c>
      <x:c r="J64" s="23" t="n">
        <x:f>IF(G64="Joia",Parametros!$B$3,IF(G64="Mágico",Parametros!$B$4,Parametros!$B$2))</x:f>
        <x:v>0.05</x:v>
      </x:c>
      <x:c r="K64" s="21" t="n">
        <x:f>IF(H64="Sim",I64*(1+J64),0)</x:f>
        <x:v>42</x:v>
      </x:c>
      <x:c r="L64" s="17"/>
    </x:row>
    <x:row r="65">
      <x:c r="A65" s="17" t="str">
        <x:v>Goblins com buraco</x:v>
      </x:c>
      <x:c r="B65" s="17" t="str">
        <x:v>Colar</x:v>
      </x:c>
      <x:c r="C65" s="19" t="n">
        <x:v>1</x:v>
      </x:c>
      <x:c r="D65" s="21" t="n">
        <x:v>50</x:v>
      </x:c>
      <x:c r="E65" s="21"/>
      <x:c r="F65" s="17" t="str">
        <x:v>Valor anotado</x:v>
      </x:c>
      <x:c r="G65" s="17" t="str">
        <x:v>Joia</x:v>
      </x:c>
      <x:c r="H65" s="17" t="str">
        <x:v>Sim</x:v>
      </x:c>
      <x:c r="I65" s="21" t="n">
        <x:f>IF(D65&lt;&gt;"",D65,IF(E65&lt;&gt;"",E65,0))</x:f>
        <x:v>50</x:v>
      </x:c>
      <x:c r="J65" s="23" t="n">
        <x:f>IF(G65="Joia",Parametros!$B$3,IF(G65="Mágico",Parametros!$B$4,Parametros!$B$2))</x:f>
        <x:v>0.05</x:v>
      </x:c>
      <x:c r="K65" s="21" t="n">
        <x:f>IF(H65="Sim",I65*(1+J65),0)</x:f>
        <x:v>52.5</x:v>
      </x:c>
      <x:c r="L65" s="17"/>
    </x:row>
    <x:row r="66">
      <x:c r="A66" s="17" t="str">
        <x:v>Goblins com buraco</x:v>
      </x:c>
      <x:c r="B66" s="17" t="str">
        <x:v>2 ônix</x:v>
      </x:c>
      <x:c r="C66" s="19" t="n">
        <x:v>1</x:v>
      </x:c>
      <x:c r="D66" s="21" t="n">
        <x:v>60</x:v>
      </x:c>
      <x:c r="E66" s="21"/>
      <x:c r="F66" s="17" t="str">
        <x:v>2 × 30 gp anotados</x:v>
      </x:c>
      <x:c r="G66" s="17" t="str">
        <x:v>Joia</x:v>
      </x:c>
      <x:c r="H66" s="17" t="str">
        <x:v>Sim</x:v>
      </x:c>
      <x:c r="I66" s="21" t="n">
        <x:f>IF(D66&lt;&gt;"",D66,IF(E66&lt;&gt;"",E66,0))</x:f>
        <x:v>60</x:v>
      </x:c>
      <x:c r="J66" s="23" t="n">
        <x:f>IF(G66="Joia",Parametros!$B$3,IF(G66="Mágico",Parametros!$B$4,Parametros!$B$2))</x:f>
        <x:v>0.05</x:v>
      </x:c>
      <x:c r="K66" s="21" t="n">
        <x:f>IF(H66="Sim",I66*(1+J66),0)</x:f>
        <x:v>63</x:v>
      </x:c>
      <x:c r="L66" s="17"/>
    </x:row>
    <x:row r="67">
      <x:c r="A67" s="17" t="str">
        <x:v>Goblins com buraco</x:v>
      </x:c>
      <x:c r="B67" s="17" t="str">
        <x:v>Scroll: Faerie Fire</x:v>
      </x:c>
      <x:c r="C67" s="19" t="n">
        <x:v>1</x:v>
      </x:c>
      <x:c r="D67" s="21"/>
      <x:c r="E67" s="21" t="n">
        <x:v>50</x:v>
      </x:c>
      <x:c r="F67" s="17" t="str">
        <x:v>Pergaminho mágico nível 1; estimativa</x:v>
      </x:c>
      <x:c r="G67" s="17" t="str">
        <x:v>Mágico</x:v>
      </x:c>
      <x:c r="H67" s="17" t="str">
        <x:v>Não</x:v>
      </x:c>
      <x:c r="I67" s="21" t="n">
        <x:f>IF(D67&lt;&gt;"",D67,IF(E67&lt;&gt;"",E67,0))</x:f>
        <x:v>50</x:v>
      </x:c>
      <x:c r="J67" s="23" t="n">
        <x:f>IF(G67="Joia",Parametros!$B$3,IF(G67="Mágico",Parametros!$B$4,Parametros!$B$2))</x:f>
        <x:v>0.15</x:v>
      </x:c>
      <x:c r="K67" s="21" t="n">
        <x:f>IF(H67="Sim",I67*(1+J67),0)</x:f>
        <x:v>0</x:v>
      </x:c>
      <x:c r="L67" s="17" t="str">
        <x:v>Manter com o grupo / confirmar antes de vender.</x:v>
      </x:c>
    </x:row>
    <x:row r="68">
      <x:c r="A68" s="17" t="str">
        <x:v>Goblins com buraco</x:v>
      </x:c>
      <x:c r="B68" s="17" t="str">
        <x:v>Scroll: Expeditious Retreat</x:v>
      </x:c>
      <x:c r="C68" s="19" t="n">
        <x:v>1</x:v>
      </x:c>
      <x:c r="D68" s="21"/>
      <x:c r="E68" s="21" t="n">
        <x:v>50</x:v>
      </x:c>
      <x:c r="F68" s="17" t="str">
        <x:v>Pergaminho mágico nível 1; estimativa</x:v>
      </x:c>
      <x:c r="G68" s="17" t="str">
        <x:v>Mágico</x:v>
      </x:c>
      <x:c r="H68" s="17" t="str">
        <x:v>Não</x:v>
      </x:c>
      <x:c r="I68" s="21" t="n">
        <x:f>IF(D68&lt;&gt;"",D68,IF(E68&lt;&gt;"",E68,0))</x:f>
        <x:v>50</x:v>
      </x:c>
      <x:c r="J68" s="23" t="n">
        <x:f>IF(G68="Joia",Parametros!$B$3,IF(G68="Mágico",Parametros!$B$4,Parametros!$B$2))</x:f>
        <x:v>0.15</x:v>
      </x:c>
      <x:c r="K68" s="21" t="n">
        <x:f>IF(H68="Sim",I68*(1+J68),0)</x:f>
        <x:v>0</x:v>
      </x:c>
      <x:c r="L68" s="17" t="str">
        <x:v>Manter com o grupo / confirmar antes de vender.</x:v>
      </x:c>
    </x:row>
    <x:row r="69">
      <x:c r="A69" s="17" t="str">
        <x:v>Goblins com buraco</x:v>
      </x:c>
      <x:c r="B69" s="17" t="str">
        <x:v>Cloak of Billowing</x:v>
      </x:c>
      <x:c r="C69" s="19" t="n">
        <x:v>1</x:v>
      </x:c>
      <x:c r="D69" s="21"/>
      <x:c r="E69" s="21" t="n">
        <x:v>50</x:v>
      </x:c>
      <x:c r="F69" s="17" t="str">
        <x:v>Item mágico comum; estimativa</x:v>
      </x:c>
      <x:c r="G69" s="17" t="str">
        <x:v>Mágico</x:v>
      </x:c>
      <x:c r="H69" s="17" t="str">
        <x:v>Não</x:v>
      </x:c>
      <x:c r="I69" s="21" t="n">
        <x:f>IF(D69&lt;&gt;"",D69,IF(E69&lt;&gt;"",E69,0))</x:f>
        <x:v>50</x:v>
      </x:c>
      <x:c r="J69" s="23" t="n">
        <x:f>IF(G69="Joia",Parametros!$B$3,IF(G69="Mágico",Parametros!$B$4,Parametros!$B$2))</x:f>
        <x:v>0.15</x:v>
      </x:c>
      <x:c r="K69" s="21" t="n">
        <x:f>IF(H69="Sim",I69*(1+J69),0)</x:f>
        <x:v>0</x:v>
      </x:c>
      <x:c r="L69" s="17" t="str">
        <x:v>Manter com o grupo / confirmar antes de vender.</x:v>
      </x:c>
    </x:row>
    <x:row r="70">
      <x:c r="A70" s="17" t="str">
        <x:v>Sala dos goblins</x:v>
      </x:c>
      <x:c r="B70" s="17" t="str">
        <x:v>Adaga estilo caracol</x:v>
      </x:c>
      <x:c r="C70" s="19" t="n">
        <x:v>1</x:v>
      </x:c>
      <x:c r="D70" s="21" t="n">
        <x:v>5</x:v>
      </x:c>
      <x:c r="E70" s="21"/>
      <x:c r="F70" s="17" t="str">
        <x:v>Valor anotado</x:v>
      </x:c>
      <x:c r="G70" s="17" t="str">
        <x:v>Item comum</x:v>
      </x:c>
      <x:c r="H70" s="17" t="str">
        <x:v>Sim</x:v>
      </x:c>
      <x:c r="I70" s="21" t="n">
        <x:f>IF(D70&lt;&gt;"",D70,IF(E70&lt;&gt;"",E70,0))</x:f>
        <x:v>5</x:v>
      </x:c>
      <x:c r="J70" s="23" t="n">
        <x:f>IF(G70="Joia",Parametros!$B$3,IF(G70="Mágico",Parametros!$B$4,Parametros!$B$2))</x:f>
        <x:v>0.15</x:v>
      </x:c>
      <x:c r="K70" s="21" t="n">
        <x:f>IF(H70="Sim",I70*(1+J70),0)</x:f>
        <x:v>5.75</x:v>
      </x:c>
      <x:c r="L70" s="17"/>
    </x:row>
    <x:row r="71">
      <x:c r="A71" s="17" t="str">
        <x:v>Sala dos goblins</x:v>
      </x:c>
      <x:c r="B71" s="17" t="str">
        <x:v>Estátua de Agatha / Corellon Larethian</x:v>
      </x:c>
      <x:c r="C71" s="19" t="n">
        <x:v>1</x:v>
      </x:c>
      <x:c r="D71" s="21" t="n">
        <x:v>30</x:v>
      </x:c>
      <x:c r="E71" s="21"/>
      <x:c r="F71" s="17" t="str">
        <x:v>Valor anotado</x:v>
      </x:c>
      <x:c r="G71" s="17" t="str">
        <x:v>Arte</x:v>
      </x:c>
      <x:c r="H71" s="17" t="str">
        <x:v>Sim</x:v>
      </x:c>
      <x:c r="I71" s="21" t="n">
        <x:f>IF(D71&lt;&gt;"",D71,IF(E71&lt;&gt;"",E71,0))</x:f>
        <x:v>30</x:v>
      </x:c>
      <x:c r="J71" s="23" t="n">
        <x:f>IF(G71="Joia",Parametros!$B$3,IF(G71="Mágico",Parametros!$B$4,Parametros!$B$2))</x:f>
        <x:v>0.15</x:v>
      </x:c>
      <x:c r="K71" s="21" t="n">
        <x:f>IF(H71="Sim",I71*(1+J71),0)</x:f>
        <x:v>34.5</x:v>
      </x:c>
      <x:c r="L71" s="17"/>
    </x:row>
    <x:row r="72">
      <x:c r="A72" s="17" t="str">
        <x:v>Sala dos goblins</x:v>
      </x:c>
      <x:c r="B72" s="17" t="str">
        <x:v>Camisa de cota de malha</x:v>
      </x:c>
      <x:c r="C72" s="19" t="n">
        <x:v>1</x:v>
      </x:c>
      <x:c r="D72" s="21"/>
      <x:c r="E72" s="21" t="n">
        <x:v>45</x:v>
      </x:c>
      <x:c r="F72" s="17" t="str">
        <x:v>Preço de lista D&amp;D 5e</x:v>
      </x:c>
      <x:c r="G72" s="17" t="str">
        <x:v>Equipamento</x:v>
      </x:c>
      <x:c r="H72" s="17" t="str">
        <x:v>Não</x:v>
      </x:c>
      <x:c r="I72" s="21" t="n">
        <x:f>IF(D72&lt;&gt;"",D72,IF(E72&lt;&gt;"",E72,0))</x:f>
        <x:v>45</x:v>
      </x:c>
      <x:c r="J72" s="23" t="n">
        <x:f>IF(G72="Joia",Parametros!$B$3,IF(G72="Mágico",Parametros!$B$4,Parametros!$B$2))</x:f>
        <x:v>0.15</x:v>
      </x:c>
      <x:c r="K72" s="21" t="n">
        <x:f>IF(H72="Sim",I72*(1+J72),0)</x:f>
        <x:v>0</x:v>
      </x:c>
      <x:c r="L72" s="17" t="str">
        <x:v>Manter com o grupo / confirmar antes de vender.</x:v>
      </x:c>
    </x:row>
    <x:row r="73">
      <x:c r="A73" s="17" t="str">
        <x:v>Gripe, Ranho e Balsag</x:v>
      </x:c>
      <x:c r="B73" s="17" t="str">
        <x:v>Moedas: 54 gp</x:v>
      </x:c>
      <x:c r="C73" s="19" t="n">
        <x:v>1</x:v>
      </x:c>
      <x:c r="D73" s="21" t="n">
        <x:v>54</x:v>
      </x:c>
      <x:c r="E73" s="21"/>
      <x:c r="F73" s="17" t="str">
        <x:v>Valor anotado</x:v>
      </x:c>
      <x:c r="G73" s="17" t="str">
        <x:v>Moedas</x:v>
      </x:c>
      <x:c r="H73" s="17" t="str">
        <x:v>Não</x:v>
      </x:c>
      <x:c r="I73" s="21" t="n">
        <x:f>IF(D73&lt;&gt;"",D73,IF(E73&lt;&gt;"",E73,0))</x:f>
        <x:v>54</x:v>
      </x:c>
      <x:c r="J73" s="23" t="n">
        <x:f>IF(G73="Joia",Parametros!$B$3,IF(G73="Mágico",Parametros!$B$4,Parametros!$B$2))</x:f>
        <x:v>0.15</x:v>
      </x:c>
      <x:c r="K73" s="21" t="n">
        <x:f>IF(H73="Sim",I73*(1+J73),0)</x:f>
        <x:v>0</x:v>
      </x:c>
      <x:c r="L73" s="17"/>
    </x:row>
    <x:row r="74">
      <x:c r="A74" s="17" t="str">
        <x:v>Gripe, Ranho e Balsag</x:v>
      </x:c>
      <x:c r="B74" s="17" t="str">
        <x:v>Moedas: 241 pp</x:v>
      </x:c>
      <x:c r="C74" s="19" t="n">
        <x:v>1</x:v>
      </x:c>
      <x:c r="D74" s="21" t="n">
        <x:v>24.1</x:v>
      </x:c>
      <x:c r="E74" s="21"/>
      <x:c r="F74" s="17" t="str">
        <x:v>241 pp × 0,1 gp</x:v>
      </x:c>
      <x:c r="G74" s="17" t="str">
        <x:v>Moedas</x:v>
      </x:c>
      <x:c r="H74" s="17" t="str">
        <x:v>Não</x:v>
      </x:c>
      <x:c r="I74" s="21" t="n">
        <x:f>IF(D74&lt;&gt;"",D74,IF(E74&lt;&gt;"",E74,0))</x:f>
        <x:v>24.1</x:v>
      </x:c>
      <x:c r="J74" s="23" t="n">
        <x:f>IF(G74="Joia",Parametros!$B$3,IF(G74="Mágico",Parametros!$B$4,Parametros!$B$2))</x:f>
        <x:v>0.15</x:v>
      </x:c>
      <x:c r="K74" s="21" t="n">
        <x:f>IF(H74="Sim",I74*(1+J74),0)</x:f>
        <x:v>0</x:v>
      </x:c>
      <x:c r="L74" s="17"/>
    </x:row>
    <x:row r="75">
      <x:c r="A75" s="17" t="str">
        <x:v>Gripe, Ranho e Balsag</x:v>
      </x:c>
      <x:c r="B75" s="17" t="str">
        <x:v>Morningstar</x:v>
      </x:c>
      <x:c r="C75" s="19" t="n">
        <x:v>1</x:v>
      </x:c>
      <x:c r="D75" s="21"/>
      <x:c r="E75" s="21" t="n">
        <x:v>15</x:v>
      </x:c>
      <x:c r="F75" s="17" t="str">
        <x:v>Preço de lista D&amp;D 5e</x:v>
      </x:c>
      <x:c r="G75" s="17" t="str">
        <x:v>Item comum</x:v>
      </x:c>
      <x:c r="H75" s="17" t="str">
        <x:v>Sim</x:v>
      </x:c>
      <x:c r="I75" s="21" t="n">
        <x:f>IF(D75&lt;&gt;"",D75,IF(E75&lt;&gt;"",E75,0))</x:f>
        <x:v>15</x:v>
      </x:c>
      <x:c r="J75" s="23" t="n">
        <x:f>IF(G75="Joia",Parametros!$B$3,IF(G75="Mágico",Parametros!$B$4,Parametros!$B$2))</x:f>
        <x:v>0.15</x:v>
      </x:c>
      <x:c r="K75" s="21" t="n">
        <x:f>IF(H75="Sim",I75*(1+J75),0)</x:f>
        <x:v>17.25</x:v>
      </x:c>
      <x:c r="L75" s="17"/>
    </x:row>
    <x:row r="76">
      <x:c r="A76" s="17" t="str">
        <x:v>Gripe, Ranho e Balsag</x:v>
      </x:c>
      <x:c r="B76" s="17" t="str">
        <x:v>2 lanças</x:v>
      </x:c>
      <x:c r="C76" s="19" t="n">
        <x:v>1</x:v>
      </x:c>
      <x:c r="D76" s="21"/>
      <x:c r="E76" s="21" t="n">
        <x:v>2</x:v>
      </x:c>
      <x:c r="F76" s="17" t="str">
        <x:v>2 × 1 gp (preço de lista)</x:v>
      </x:c>
      <x:c r="G76" s="17" t="str">
        <x:v>Item comum</x:v>
      </x:c>
      <x:c r="H76" s="17" t="str">
        <x:v>Sim</x:v>
      </x:c>
      <x:c r="I76" s="21" t="n">
        <x:f>IF(D76&lt;&gt;"",D76,IF(E76&lt;&gt;"",E76,0))</x:f>
        <x:v>2</x:v>
      </x:c>
      <x:c r="J76" s="23" t="n">
        <x:f>IF(G76="Joia",Parametros!$B$3,IF(G76="Mágico",Parametros!$B$4,Parametros!$B$2))</x:f>
        <x:v>0.15</x:v>
      </x:c>
      <x:c r="K76" s="21" t="n">
        <x:f>IF(H76="Sim",I76*(1+J76),0)</x:f>
        <x:v>2.3</x:v>
      </x:c>
      <x:c r="L76" s="17"/>
    </x:row>
    <x:row r="77">
      <x:c r="A77" s="17" t="str">
        <x:v>Gripe, Ranho e Balsag</x:v>
      </x:c>
      <x:c r="B77" s="17" t="str">
        <x:v>6 javelins</x:v>
      </x:c>
      <x:c r="C77" s="19" t="n">
        <x:v>1</x:v>
      </x:c>
      <x:c r="D77" s="21"/>
      <x:c r="E77" s="21" t="n">
        <x:v>3</x:v>
      </x:c>
      <x:c r="F77" s="17" t="str">
        <x:v>6 × 0,5 gp (preço de lista)</x:v>
      </x:c>
      <x:c r="G77" s="17" t="str">
        <x:v>Item comum</x:v>
      </x:c>
      <x:c r="H77" s="17" t="str">
        <x:v>Sim</x:v>
      </x:c>
      <x:c r="I77" s="21" t="n">
        <x:f>IF(D77&lt;&gt;"",D77,IF(E77&lt;&gt;"",E77,0))</x:f>
        <x:v>3</x:v>
      </x:c>
      <x:c r="J77" s="23" t="n">
        <x:f>IF(G77="Joia",Parametros!$B$3,IF(G77="Mágico",Parametros!$B$4,Parametros!$B$2))</x:f>
        <x:v>0.15</x:v>
      </x:c>
      <x:c r="K77" s="21" t="n">
        <x:f>IF(H77="Sim",I77*(1+J77),0)</x:f>
        <x:v>3.4499999999999997</x:v>
      </x:c>
      <x:c r="L77" s="17"/>
    </x:row>
    <x:row r="78">
      <x:c r="A78" s="17" t="str">
        <x:v>Gripe, Ranho e Balsag</x:v>
      </x:c>
      <x:c r="B78" s="17" t="str">
        <x:v>Longsword</x:v>
      </x:c>
      <x:c r="C78" s="19" t="n">
        <x:v>1</x:v>
      </x:c>
      <x:c r="D78" s="21"/>
      <x:c r="E78" s="21" t="n">
        <x:v>15</x:v>
      </x:c>
      <x:c r="F78" s="17" t="str">
        <x:v>Preço de lista D&amp;D 5e</x:v>
      </x:c>
      <x:c r="G78" s="17" t="str">
        <x:v>Item comum</x:v>
      </x:c>
      <x:c r="H78" s="17" t="str">
        <x:v>Sim</x:v>
      </x:c>
      <x:c r="I78" s="21" t="n">
        <x:f>IF(D78&lt;&gt;"",D78,IF(E78&lt;&gt;"",E78,0))</x:f>
        <x:v>15</x:v>
      </x:c>
      <x:c r="J78" s="23" t="n">
        <x:f>IF(G78="Joia",Parametros!$B$3,IF(G78="Mágico",Parametros!$B$4,Parametros!$B$2))</x:f>
        <x:v>0.15</x:v>
      </x:c>
      <x:c r="K78" s="21" t="n">
        <x:f>IF(H78="Sim",I78*(1+J78),0)</x:f>
        <x:v>17.25</x:v>
      </x:c>
      <x:c r="L78" s="17"/>
    </x:row>
    <x:row r="79">
      <x:c r="A79" s="17" t="str">
        <x:v>Gripe, Ranho e Balsag</x:v>
      </x:c>
      <x:c r="B79" s="17" t="str">
        <x:v>Greatsword</x:v>
      </x:c>
      <x:c r="C79" s="19" t="n">
        <x:v>1</x:v>
      </x:c>
      <x:c r="D79" s="21"/>
      <x:c r="E79" s="21" t="n">
        <x:v>50</x:v>
      </x:c>
      <x:c r="F79" s="17" t="str">
        <x:v>Preço de lista D&amp;D 5e</x:v>
      </x:c>
      <x:c r="G79" s="17" t="str">
        <x:v>Item comum</x:v>
      </x:c>
      <x:c r="H79" s="17" t="str">
        <x:v>Sim</x:v>
      </x:c>
      <x:c r="I79" s="21" t="n">
        <x:f>IF(D79&lt;&gt;"",D79,IF(E79&lt;&gt;"",E79,0))</x:f>
        <x:v>50</x:v>
      </x:c>
      <x:c r="J79" s="23" t="n">
        <x:f>IF(G79="Joia",Parametros!$B$3,IF(G79="Mágico",Parametros!$B$4,Parametros!$B$2))</x:f>
        <x:v>0.15</x:v>
      </x:c>
      <x:c r="K79" s="21" t="n">
        <x:f>IF(H79="Sim",I79*(1+J79),0)</x:f>
        <x:v>57.49999999999999</x:v>
      </x:c>
      <x:c r="L79" s="17"/>
    </x:row>
    <x:row r="80">
      <x:c r="A80" s="17" t="str">
        <x:v>Sala roxa</x:v>
      </x:c>
      <x:c r="B80" s="17" t="str">
        <x:v>40 flechas</x:v>
      </x:c>
      <x:c r="C80" s="19" t="n">
        <x:v>1</x:v>
      </x:c>
      <x:c r="D80" s="21"/>
      <x:c r="E80" s="21" t="n">
        <x:v>2</x:v>
      </x:c>
      <x:c r="F80" s="17" t="str">
        <x:v>40 × 0,05 gp (preço de lista)</x:v>
      </x:c>
      <x:c r="G80" s="17" t="str">
        <x:v>Equipamento</x:v>
      </x:c>
      <x:c r="H80" s="17" t="str">
        <x:v>Não</x:v>
      </x:c>
      <x:c r="I80" s="21" t="n">
        <x:f>IF(D80&lt;&gt;"",D80,IF(E80&lt;&gt;"",E80,0))</x:f>
        <x:v>2</x:v>
      </x:c>
      <x:c r="J80" s="23" t="n">
        <x:f>IF(G80="Joia",Parametros!$B$3,IF(G80="Mágico",Parametros!$B$4,Parametros!$B$2))</x:f>
        <x:v>0.15</x:v>
      </x:c>
      <x:c r="K80" s="21" t="n">
        <x:f>IF(H80="Sim",I80*(1+J80),0)</x:f>
        <x:v>0</x:v>
      </x:c>
      <x:c r="L80" s="17" t="str">
        <x:v>Manter com o grupo / confirmar antes de vender.</x:v>
      </x:c>
    </x:row>
    <x:row r="81">
      <x:c r="A81" s="17" t="str">
        <x:v>Sala roxa</x:v>
      </x:c>
      <x:c r="B81" s="17" t="str">
        <x:v>Cogumelo roxo brilhante</x:v>
      </x:c>
      <x:c r="C81" s="19" t="n">
        <x:v>1</x:v>
      </x:c>
      <x:c r="D81" s="21"/>
      <x:c r="E81" s="21" t="n">
        <x:v>5</x:v>
      </x:c>
      <x:c r="F81" s="17" t="str">
        <x:v>Consumível/curiosidade; valor muito incerto</x:v>
      </x:c>
      <x:c r="G81" s="17" t="str">
        <x:v>Especial</x:v>
      </x:c>
      <x:c r="H81" s="17" t="str">
        <x:v>Não</x:v>
      </x:c>
      <x:c r="I81" s="21" t="n">
        <x:f>IF(D81&lt;&gt;"",D81,IF(E81&lt;&gt;"",E81,0))</x:f>
        <x:v>5</x:v>
      </x:c>
      <x:c r="J81" s="23" t="n">
        <x:f>IF(G81="Joia",Parametros!$B$3,IF(G81="Mágico",Parametros!$B$4,Parametros!$B$2))</x:f>
        <x:v>0.15</x:v>
      </x:c>
      <x:c r="K81" s="21" t="n">
        <x:f>IF(H81="Sim",I81*(1+J81),0)</x:f>
        <x:v>0</x:v>
      </x:c>
      <x:c r="L81" s="17" t="str">
        <x:v>Manter com o grupo / confirmar antes de vender.</x:v>
      </x:c>
    </x:row>
    <x:row r="82">
      <x:c r="A82" s="17" t="str">
        <x:v>Bugbear</x:v>
      </x:c>
      <x:c r="B82" s="17" t="str">
        <x:v>Glaive / foice</x:v>
      </x:c>
      <x:c r="C82" s="19" t="n">
        <x:v>1</x:v>
      </x:c>
      <x:c r="D82" s="21"/>
      <x:c r="E82" s="21" t="n">
        <x:v>20</x:v>
      </x:c>
      <x:c r="F82" s="17" t="str">
        <x:v>Preço de lista D&amp;D 5e</x:v>
      </x:c>
      <x:c r="G82" s="17" t="str">
        <x:v>Item comum</x:v>
      </x:c>
      <x:c r="H82" s="17" t="str">
        <x:v>Sim</x:v>
      </x:c>
      <x:c r="I82" s="21" t="n">
        <x:f>IF(D82&lt;&gt;"",D82,IF(E82&lt;&gt;"",E82,0))</x:f>
        <x:v>20</x:v>
      </x:c>
      <x:c r="J82" s="23" t="n">
        <x:f>IF(G82="Joia",Parametros!$B$3,IF(G82="Mágico",Parametros!$B$4,Parametros!$B$2))</x:f>
        <x:v>0.15</x:v>
      </x:c>
      <x:c r="K82" s="21" t="n">
        <x:f>IF(H82="Sim",I82*(1+J82),0)</x:f>
        <x:v>23</x:v>
      </x:c>
      <x:c r="L82" s="17"/>
    </x:row>
    <x:row r="83">
      <x:c r="A83" s="17" t="str">
        <x:v>Dragão vermelho (Achardalon)</x:v>
      </x:c>
      <x:c r="B83" s="17" t="str">
        <x:v>Moedas: 34 gp</x:v>
      </x:c>
      <x:c r="C83" s="19" t="n">
        <x:v>1</x:v>
      </x:c>
      <x:c r="D83" s="21" t="n">
        <x:v>34</x:v>
      </x:c>
      <x:c r="E83" s="21"/>
      <x:c r="F83" s="17" t="str">
        <x:v>Valor anotado</x:v>
      </x:c>
      <x:c r="G83" s="17" t="str">
        <x:v>Moedas</x:v>
      </x:c>
      <x:c r="H83" s="17" t="str">
        <x:v>Não</x:v>
      </x:c>
      <x:c r="I83" s="21" t="n">
        <x:f>IF(D83&lt;&gt;"",D83,IF(E83&lt;&gt;"",E83,0))</x:f>
        <x:v>34</x:v>
      </x:c>
      <x:c r="J83" s="23" t="n">
        <x:f>IF(G83="Joia",Parametros!$B$3,IF(G83="Mágico",Parametros!$B$4,Parametros!$B$2))</x:f>
        <x:v>0.15</x:v>
      </x:c>
      <x:c r="K83" s="21" t="n">
        <x:f>IF(H83="Sim",I83*(1+J83),0)</x:f>
        <x:v>0</x:v>
      </x:c>
      <x:c r="L83" s="17"/>
    </x:row>
    <x:row r="84">
      <x:c r="A84" s="17" t="str">
        <x:v>Dragão vermelho (Achardalon)</x:v>
      </x:c>
      <x:c r="B84" s="17" t="str">
        <x:v>2 frascos de Alchemist's Fire</x:v>
      </x:c>
      <x:c r="C84" s="19" t="n">
        <x:v>1</x:v>
      </x:c>
      <x:c r="D84" s="21"/>
      <x:c r="E84" s="21" t="n">
        <x:v>100</x:v>
      </x:c>
      <x:c r="F84" s="17" t="str">
        <x:v>2 × 50 gp (preço de lista)</x:v>
      </x:c>
      <x:c r="G84" s="17" t="str">
        <x:v>Consumível</x:v>
      </x:c>
      <x:c r="H84" s="17" t="str">
        <x:v>Não</x:v>
      </x:c>
      <x:c r="I84" s="21" t="n">
        <x:f>IF(D84&lt;&gt;"",D84,IF(E84&lt;&gt;"",E84,0))</x:f>
        <x:v>100</x:v>
      </x:c>
      <x:c r="J84" s="23" t="n">
        <x:f>IF(G84="Joia",Parametros!$B$3,IF(G84="Mágico",Parametros!$B$4,Parametros!$B$2))</x:f>
        <x:v>0.15</x:v>
      </x:c>
      <x:c r="K84" s="21" t="n">
        <x:f>IF(H84="Sim",I84*(1+J84),0)</x:f>
        <x:v>0</x:v>
      </x:c>
      <x:c r="L84" s="17" t="str">
        <x:v>Manter com o grupo / confirmar antes de vender.</x:v>
      </x:c>
    </x:row>
    <x:row r="85">
      <x:c r="A85" s="17" t="str">
        <x:v>Livraria</x:v>
      </x:c>
      <x:c r="B85" s="17" t="str">
        <x:v>Scroll: Melf's Acid Arrow</x:v>
      </x:c>
      <x:c r="C85" s="19" t="n">
        <x:v>1</x:v>
      </x:c>
      <x:c r="D85" s="21"/>
      <x:c r="E85" s="21" t="n">
        <x:v>100</x:v>
      </x:c>
      <x:c r="F85" s="17" t="str">
        <x:v>Pergaminho mágico nível 2; estimativa</x:v>
      </x:c>
      <x:c r="G85" s="17" t="str">
        <x:v>Mágico</x:v>
      </x:c>
      <x:c r="H85" s="17" t="str">
        <x:v>Não</x:v>
      </x:c>
      <x:c r="I85" s="21" t="n">
        <x:f>IF(D85&lt;&gt;"",D85,IF(E85&lt;&gt;"",E85,0))</x:f>
        <x:v>100</x:v>
      </x:c>
      <x:c r="J85" s="23" t="n">
        <x:f>IF(G85="Joia",Parametros!$B$3,IF(G85="Mágico",Parametros!$B$4,Parametros!$B$2))</x:f>
        <x:v>0.15</x:v>
      </x:c>
      <x:c r="K85" s="21" t="n">
        <x:f>IF(H85="Sim",I85*(1+J85),0)</x:f>
        <x:v>0</x:v>
      </x:c>
      <x:c r="L85" s="17" t="str">
        <x:v>Manter com o grupo / confirmar antes de vender.</x:v>
      </x:c>
    </x:row>
    <x:row r="86">
      <x:c r="A86" s="17" t="str">
        <x:v>Livraria</x:v>
      </x:c>
      <x:c r="B86" s="17" t="str">
        <x:v>Scroll: Scorching Ray</x:v>
      </x:c>
      <x:c r="C86" s="19" t="n">
        <x:v>1</x:v>
      </x:c>
      <x:c r="D86" s="21"/>
      <x:c r="E86" s="21" t="n">
        <x:v>100</x:v>
      </x:c>
      <x:c r="F86" s="17" t="str">
        <x:v>Pergaminho mágico nível 2; estimativa</x:v>
      </x:c>
      <x:c r="G86" s="17" t="str">
        <x:v>Mágico</x:v>
      </x:c>
      <x:c r="H86" s="17" t="str">
        <x:v>Não</x:v>
      </x:c>
      <x:c r="I86" s="21" t="n">
        <x:f>IF(D86&lt;&gt;"",D86,IF(E86&lt;&gt;"",E86,0))</x:f>
        <x:v>100</x:v>
      </x:c>
      <x:c r="J86" s="23" t="n">
        <x:f>IF(G86="Joia",Parametros!$B$3,IF(G86="Mágico",Parametros!$B$4,Parametros!$B$2))</x:f>
        <x:v>0.15</x:v>
      </x:c>
      <x:c r="K86" s="21" t="n">
        <x:f>IF(H86="Sim",I86*(1+J86),0)</x:f>
        <x:v>0</x:v>
      </x:c>
      <x:c r="L86" s="17" t="str">
        <x:v>Manter com o grupo / confirmar antes de vender.</x:v>
      </x:c>
    </x:row>
    <x:row r="87">
      <x:c r="A87" s="17" t="str">
        <x:v>Livraria</x:v>
      </x:c>
      <x:c r="B87" s="17" t="str">
        <x:v>Livro com escamas de dragão</x:v>
      </x:c>
      <x:c r="C87" s="19" t="n">
        <x:v>1</x:v>
      </x:c>
      <x:c r="D87" s="21" t="n">
        <x:v>150</x:v>
      </x:c>
      <x:c r="E87" s="21"/>
      <x:c r="F87" s="17" t="str">
        <x:v>Valor anotado</x:v>
      </x:c>
      <x:c r="G87" s="17" t="str">
        <x:v>Arte</x:v>
      </x:c>
      <x:c r="H87" s="17" t="str">
        <x:v>Sim</x:v>
      </x:c>
      <x:c r="I87" s="21" t="n">
        <x:f>IF(D87&lt;&gt;"",D87,IF(E87&lt;&gt;"",E87,0))</x:f>
        <x:v>150</x:v>
      </x:c>
      <x:c r="J87" s="23" t="n">
        <x:f>IF(G87="Joia",Parametros!$B$3,IF(G87="Mágico",Parametros!$B$4,Parametros!$B$2))</x:f>
        <x:v>0.15</x:v>
      </x:c>
      <x:c r="K87" s="21" t="n">
        <x:f>IF(H87="Sim",I87*(1+J87),0)</x:f>
        <x:v>172.5</x:v>
      </x:c>
      <x:c r="L87" s="17"/>
    </x:row>
    <x:row r="88">
      <x:c r="A88" s="17" t="str">
        <x:v>Sala de interrogatório</x:v>
      </x:c>
      <x:c r="B88" s="17" t="str">
        <x:v>Moedas: 365 gp</x:v>
      </x:c>
      <x:c r="C88" s="19" t="n">
        <x:v>1</x:v>
      </x:c>
      <x:c r="D88" s="21" t="n">
        <x:v>365</x:v>
      </x:c>
      <x:c r="E88" s="21"/>
      <x:c r="F88" s="17" t="str">
        <x:v>Valor anotado</x:v>
      </x:c>
      <x:c r="G88" s="17" t="str">
        <x:v>Moedas</x:v>
      </x:c>
      <x:c r="H88" s="17" t="str">
        <x:v>Não</x:v>
      </x:c>
      <x:c r="I88" s="21" t="n">
        <x:f>IF(D88&lt;&gt;"",D88,IF(E88&lt;&gt;"",E88,0))</x:f>
        <x:v>365</x:v>
      </x:c>
      <x:c r="J88" s="23" t="n">
        <x:f>IF(G88="Joia",Parametros!$B$3,IF(G88="Mágico",Parametros!$B$4,Parametros!$B$2))</x:f>
        <x:v>0.15</x:v>
      </x:c>
      <x:c r="K88" s="21" t="n">
        <x:f>IF(H88="Sim",I88*(1+J88),0)</x:f>
        <x:v>0</x:v>
      </x:c>
      <x:c r="L88" s="17"/>
    </x:row>
    <x:row r="89">
      <x:c r="A89" s="17" t="str">
        <x:v>Sala de interrogatório</x:v>
      </x:c>
      <x:c r="B89" s="17" t="str">
        <x:v>Livro sobre vida e morte</x:v>
      </x:c>
      <x:c r="C89" s="19" t="n">
        <x:v>1</x:v>
      </x:c>
      <x:c r="D89" s="21" t="n">
        <x:v>150</x:v>
      </x:c>
      <x:c r="E89" s="21"/>
      <x:c r="F89" s="17" t="str">
        <x:v>Valor anotado</x:v>
      </x:c>
      <x:c r="G89" s="17" t="str">
        <x:v>Arte</x:v>
      </x:c>
      <x:c r="H89" s="17" t="str">
        <x:v>Sim</x:v>
      </x:c>
      <x:c r="I89" s="21" t="n">
        <x:f>IF(D89&lt;&gt;"",D89,IF(E89&lt;&gt;"",E89,0))</x:f>
        <x:v>150</x:v>
      </x:c>
      <x:c r="J89" s="23" t="n">
        <x:f>IF(G89="Joia",Parametros!$B$3,IF(G89="Mágico",Parametros!$B$4,Parametros!$B$2))</x:f>
        <x:v>0.15</x:v>
      </x:c>
      <x:c r="K89" s="21" t="n">
        <x:f>IF(H89="Sim",I89*(1+J89),0)</x:f>
        <x:v>172.5</x:v>
      </x:c>
      <x:c r="L89" s="17"/>
    </x:row>
    <x:row r="90">
      <x:c r="A90" s="17" t="str">
        <x:v>Sala de interrogatório</x:v>
      </x:c>
      <x:c r="B90" s="17" t="str">
        <x:v>Livro Tesouros dos Senhores do Fogo</x:v>
      </x:c>
      <x:c r="C90" s="19" t="n">
        <x:v>1</x:v>
      </x:c>
      <x:c r="D90" s="21" t="n">
        <x:v>0</x:v>
      </x:c>
      <x:c r="E90" s="21"/>
      <x:c r="F90" s="17" t="str">
        <x:v>Explodiu; sem valor</x:v>
      </x:c>
      <x:c r="G90" s="17" t="str">
        <x:v>Destruído</x:v>
      </x:c>
      <x:c r="H90" s="17" t="str">
        <x:v>Não</x:v>
      </x:c>
      <x:c r="I90" s="21" t="n">
        <x:f>IF(D90&lt;&gt;"",D90,IF(E90&lt;&gt;"",E90,0))</x:f>
        <x:v>0</x:v>
      </x:c>
      <x:c r="J90" s="23" t="n">
        <x:f>IF(G90="Joia",Parametros!$B$3,IF(G90="Mágico",Parametros!$B$4,Parametros!$B$2))</x:f>
        <x:v>0.15</x:v>
      </x:c>
      <x:c r="K90" s="21" t="n">
        <x:f>IF(H90="Sim",I90*(1+J90),0)</x:f>
        <x:v>0</x:v>
      </x:c>
      <x:c r="L90" s="17"/>
    </x:row>
    <x:row r="91">
      <x:c r="A91" s="17" t="str">
        <x:v>Belak / Árvore Gulthias</x:v>
      </x:c>
      <x:c r="B91" s="17" t="str">
        <x:v>Moedas: 110 gp</x:v>
      </x:c>
      <x:c r="C91" s="19" t="n">
        <x:v>1</x:v>
      </x:c>
      <x:c r="D91" s="21" t="n">
        <x:v>110</x:v>
      </x:c>
      <x:c r="E91" s="21"/>
      <x:c r="F91" s="17" t="str">
        <x:v>Valor anotado</x:v>
      </x:c>
      <x:c r="G91" s="17" t="str">
        <x:v>Moedas</x:v>
      </x:c>
      <x:c r="H91" s="17" t="str">
        <x:v>Não</x:v>
      </x:c>
      <x:c r="I91" s="21" t="n">
        <x:f>IF(D91&lt;&gt;"",D91,IF(E91&lt;&gt;"",E91,0))</x:f>
        <x:v>110</x:v>
      </x:c>
      <x:c r="J91" s="23" t="n">
        <x:f>IF(G91="Joia",Parametros!$B$3,IF(G91="Mágico",Parametros!$B$4,Parametros!$B$2))</x:f>
        <x:v>0.15</x:v>
      </x:c>
      <x:c r="K91" s="21" t="n">
        <x:f>IF(H91="Sim",I91*(1+J91),0)</x:f>
        <x:v>0</x:v>
      </x:c>
      <x:c r="L91" s="17"/>
    </x:row>
    <x:row r="92">
      <x:c r="A92" s="17" t="str">
        <x:v>Belak / Árvore Gulthias</x:v>
      </x:c>
      <x:c r="B92" s="17" t="str">
        <x:v>Wand of Entanglement (7 cargas)</x:v>
      </x:c>
      <x:c r="C92" s="19" t="n">
        <x:v>1</x:v>
      </x:c>
      <x:c r="D92" s="21"/>
      <x:c r="E92" s="21" t="n">
        <x:v>500</x:v>
      </x:c>
      <x:c r="F92" s="17" t="str">
        <x:v>Item mágico incomum; estimativa de referência</x:v>
      </x:c>
      <x:c r="G92" s="17" t="str">
        <x:v>Mágico</x:v>
      </x:c>
      <x:c r="H92" s="17" t="str">
        <x:v>Não</x:v>
      </x:c>
      <x:c r="I92" s="21" t="n">
        <x:f>IF(D92&lt;&gt;"",D92,IF(E92&lt;&gt;"",E92,0))</x:f>
        <x:v>500</x:v>
      </x:c>
      <x:c r="J92" s="23" t="n">
        <x:f>IF(G92="Joia",Parametros!$B$3,IF(G92="Mágico",Parametros!$B$4,Parametros!$B$2))</x:f>
        <x:v>0.15</x:v>
      </x:c>
      <x:c r="K92" s="21" t="n">
        <x:f>IF(H92="Sim",I92*(1+J92),0)</x:f>
        <x:v>0</x:v>
      </x:c>
      <x:c r="L92" s="17" t="str">
        <x:v>Manter com o grupo / confirmar antes de vender.</x:v>
      </x:c>
    </x:row>
    <x:row r="93">
      <x:c r="A93" s="17" t="str">
        <x:v>Belak / Árvore Gulthias</x:v>
      </x:c>
      <x:c r="B93" s="17" t="str">
        <x:v>Diversas chaves</x:v>
      </x:c>
      <x:c r="C93" s="19" t="n">
        <x:v>1</x:v>
      </x:c>
      <x:c r="D93" s="21"/>
      <x:c r="E93" s="21" t="n">
        <x:v>0</x:v>
      </x:c>
      <x:c r="F93" s="17" t="str">
        <x:v>Chaves do andar; sem venda até confirmar uso</x:v>
      </x:c>
      <x:c r="G93" s="17" t="str">
        <x:v>Item de missão</x:v>
      </x:c>
      <x:c r="H93" s="17" t="str">
        <x:v>Não</x:v>
      </x:c>
      <x:c r="I93" s="21" t="n">
        <x:f>IF(D93&lt;&gt;"",D93,IF(E93&lt;&gt;"",E93,0))</x:f>
        <x:v>0</x:v>
      </x:c>
      <x:c r="J93" s="23" t="n">
        <x:f>IF(G93="Joia",Parametros!$B$3,IF(G93="Mágico",Parametros!$B$4,Parametros!$B$2))</x:f>
        <x:v>0.15</x:v>
      </x:c>
      <x:c r="K93" s="21" t="n">
        <x:f>IF(H93="Sim",I93*(1+J93),0)</x:f>
        <x:v>0</x:v>
      </x:c>
      <x:c r="L93" s="17" t="str">
        <x:v>Manter com o grupo / confirmar antes de vender.</x:v>
      </x:c>
    </x:row>
    <x:row r="94">
      <x:c r="A94" s="17" t="str">
        <x:v>Belak / Árvore Gulthias</x:v>
      </x:c>
      <x:c r="B94" s="17" t="str">
        <x:v>Chave ornamentada de dragão</x:v>
      </x:c>
      <x:c r="C94" s="19" t="n">
        <x:v>1</x:v>
      </x:c>
      <x:c r="D94" s="21"/>
      <x:c r="E94" s="21" t="n">
        <x:v>50</x:v>
      </x:c>
      <x:c r="F94" s="17" t="str">
        <x:v>Possível chave importante; estimativa meramente indicativa</x:v>
      </x:c>
      <x:c r="G94" s="17" t="str">
        <x:v>Item de missão</x:v>
      </x:c>
      <x:c r="H94" s="17" t="str">
        <x:v>Não</x:v>
      </x:c>
      <x:c r="I94" s="21" t="n">
        <x:f>IF(D94&lt;&gt;"",D94,IF(E94&lt;&gt;"",E94,0))</x:f>
        <x:v>50</x:v>
      </x:c>
      <x:c r="J94" s="23" t="n">
        <x:f>IF(G94="Joia",Parametros!$B$3,IF(G94="Mágico",Parametros!$B$4,Parametros!$B$2))</x:f>
        <x:v>0.15</x:v>
      </x:c>
      <x:c r="K94" s="21" t="n">
        <x:f>IF(H94="Sim",I94*(1+J94),0)</x:f>
        <x:v>0</x:v>
      </x:c>
      <x:c r="L94" s="17" t="str">
        <x:v>Manter com o grupo / confirmar antes de vender.</x:v>
      </x:c>
    </x:row>
    <x:row r="95">
      <x:c r="A95" s="17" t="str">
        <x:v>Belak / Árvore Gulthias</x:v>
      </x:c>
      <x:c r="B95" s="17" t="str">
        <x:v>Diamante para Revivify</x:v>
      </x:c>
      <x:c r="C95" s="19" t="n">
        <x:v>1</x:v>
      </x:c>
      <x:c r="D95" s="21"/>
      <x:c r="E95" s="21" t="n">
        <x:v>300</x:v>
      </x:c>
      <x:c r="F95" s="17" t="str">
        <x:v>Custo material padrão de Revivify; confirmar valor</x:v>
      </x:c>
      <x:c r="G95" s="17" t="str">
        <x:v>Joia</x:v>
      </x:c>
      <x:c r="H95" s="17" t="str">
        <x:v>Não</x:v>
      </x:c>
      <x:c r="I95" s="21" t="n">
        <x:f>IF(D95&lt;&gt;"",D95,IF(E95&lt;&gt;"",E95,0))</x:f>
        <x:v>300</x:v>
      </x:c>
      <x:c r="J95" s="23" t="n">
        <x:f>IF(G95="Joia",Parametros!$B$3,IF(G95="Mágico",Parametros!$B$4,Parametros!$B$2))</x:f>
        <x:v>0.05</x:v>
      </x:c>
      <x:c r="K95" s="21" t="n">
        <x:f>IF(H95="Sim",I95*(1+J95),0)</x:f>
        <x:v>0</x:v>
      </x:c>
      <x:c r="L95" s="17"/>
    </x:row>
    <x:row r="96">
      <x:c r="A96" s="17" t="str">
        <x:v>Belak / Árvore Gulthias</x:v>
      </x:c>
      <x:c r="B96" s="17" t="str">
        <x:v>Shatterspike (espada mágica de Sir Bradford)</x:v>
      </x:c>
      <x:c r="C96" s="19" t="n">
        <x:v>1</x:v>
      </x:c>
      <x:c r="D96" s="21"/>
      <x:c r="E96" s="21" t="n">
        <x:v>1000</x:v>
      </x:c>
      <x:c r="F96" s="17" t="str">
        <x:v>Arma mágica +1; pertence a Sir Bradford</x:v>
      </x:c>
      <x:c r="G96" s="17" t="str">
        <x:v>Item de missão</x:v>
      </x:c>
      <x:c r="H96" s="17" t="str">
        <x:v>Não</x:v>
      </x:c>
      <x:c r="I96" s="21" t="n">
        <x:f>IF(D96&lt;&gt;"",D96,IF(E96&lt;&gt;"",E96,0))</x:f>
        <x:v>1000</x:v>
      </x:c>
      <x:c r="J96" s="23" t="n">
        <x:f>IF(G96="Joia",Parametros!$B$3,IF(G96="Mágico",Parametros!$B$4,Parametros!$B$2))</x:f>
        <x:v>0.15</x:v>
      </x:c>
      <x:c r="K96" s="21" t="n">
        <x:f>IF(H96="Sim",I96*(1+J96),0)</x:f>
        <x:v>0</x:v>
      </x:c>
      <x:c r="L96" s="17" t="str">
        <x:v>Manter com o grupo / confirmar antes de vender.</x:v>
      </x:c>
    </x:row>
    <x:row r="97">
      <x:c r="A97" s="17" t="str">
        <x:v>Belak / Árvore Gulthias</x:v>
      </x:c>
      <x:c r="B97" s="17" t="str">
        <x:v>3 poções de Healing</x:v>
      </x:c>
      <x:c r="C97" s="19" t="n">
        <x:v>1</x:v>
      </x:c>
      <x:c r="D97" s="21"/>
      <x:c r="E97" s="21" t="n">
        <x:v>150</x:v>
      </x:c>
      <x:c r="F97" s="17" t="str">
        <x:v>3 × 50 gp (estimativa)</x:v>
      </x:c>
      <x:c r="G97" s="17" t="str">
        <x:v>Mágico</x:v>
      </x:c>
      <x:c r="H97" s="17" t="str">
        <x:v>Não</x:v>
      </x:c>
      <x:c r="I97" s="21" t="n">
        <x:f>IF(D97&lt;&gt;"",D97,IF(E97&lt;&gt;"",E97,0))</x:f>
        <x:v>150</x:v>
      </x:c>
      <x:c r="J97" s="23" t="n">
        <x:f>IF(G97="Joia",Parametros!$B$3,IF(G97="Mágico",Parametros!$B$4,Parametros!$B$2))</x:f>
        <x:v>0.15</x:v>
      </x:c>
      <x:c r="K97" s="21" t="n">
        <x:f>IF(H97="Sim",I97*(1+J97),0)</x:f>
        <x:v>0</x:v>
      </x:c>
      <x:c r="L97" s="17" t="str">
        <x:v>Manter com o grupo / confirmar antes de vender.</x:v>
      </x:c>
    </x:row>
    <x:row r="98">
      <x:c r="A98" s="17" t="str">
        <x:v>Belak / Árvore Gulthias</x:v>
      </x:c>
      <x:c r="B98" s="17" t="str">
        <x:v>2 poções de Antitoxina</x:v>
      </x:c>
      <x:c r="C98" s="19" t="n">
        <x:v>1</x:v>
      </x:c>
      <x:c r="D98" s="21"/>
      <x:c r="E98" s="21" t="n">
        <x:v>100</x:v>
      </x:c>
      <x:c r="F98" s="17" t="str">
        <x:v>2 × 50 gp (estimativa)</x:v>
      </x:c>
      <x:c r="G98" s="17" t="str">
        <x:v>Consumível</x:v>
      </x:c>
      <x:c r="H98" s="17" t="str">
        <x:v>Não</x:v>
      </x:c>
      <x:c r="I98" s="21" t="n">
        <x:f>IF(D98&lt;&gt;"",D98,IF(E98&lt;&gt;"",E98,0))</x:f>
        <x:v>100</x:v>
      </x:c>
      <x:c r="J98" s="23" t="n">
        <x:f>IF(G98="Joia",Parametros!$B$3,IF(G98="Mágico",Parametros!$B$4,Parametros!$B$2))</x:f>
        <x:v>0.15</x:v>
      </x:c>
      <x:c r="K98" s="21" t="n">
        <x:f>IF(H98="Sim",I98*(1+J98),0)</x:f>
        <x:v>0</x:v>
      </x:c>
      <x:c r="L98" s="17" t="str">
        <x:v>Manter com o grupo / confirmar antes de vender.</x:v>
      </x:c>
    </x:row>
    <x:row r="99">
      <x:c r="A99" s="17" t="str">
        <x:v>Sala do Dragão — consumido</x:v>
      </x:c>
      <x:c r="B99" s="17" t="str">
        <x:v>Gemas de Ágatha (4; usadas)</x:v>
      </x:c>
      <x:c r="C99" s="19" t="n">
        <x:v>1</x:v>
      </x:c>
      <x:c r="D99" s="21" t="n">
        <x:v>80</x:v>
      </x:c>
      <x:c r="E99" s="21"/>
      <x:c r="F99" s="17" t="str">
        <x:v>4 × 20 gp anotados; usadas</x:v>
      </x:c>
      <x:c r="G99" s="17" t="str">
        <x:v>Usado</x:v>
      </x:c>
      <x:c r="H99" s="17" t="str">
        <x:v>Não</x:v>
      </x:c>
      <x:c r="I99" s="21" t="n">
        <x:f>IF(D99&lt;&gt;"",D99,IF(E99&lt;&gt;"",E99,0))</x:f>
        <x:v>80</x:v>
      </x:c>
      <x:c r="J99" s="23" t="n">
        <x:f>IF(G99="Joia",Parametros!$B$3,IF(G99="Mágico",Parametros!$B$4,Parametros!$B$2))</x:f>
        <x:v>0.15</x:v>
      </x:c>
      <x:c r="K99" s="21" t="n">
        <x:f>IF(H99="Sim",I99*(1+J99),0)</x:f>
        <x:v>0</x:v>
      </x:c>
      <x:c r="L99" s="17" t="str">
        <x:v>Já consumido/usado; excluído do caixa.</x:v>
      </x:c>
    </x:row>
    <x:row r="100">
      <x:c r="A100" s="17" t="str">
        <x:v>Sala do Dragão — consumido</x:v>
      </x:c>
      <x:c r="B100" s="17" t="str">
        <x:v>Safiras (2; usadas)</x:v>
      </x:c>
      <x:c r="C100" s="19" t="n">
        <x:v>1</x:v>
      </x:c>
      <x:c r="D100" s="21" t="n">
        <x:v>100</x:v>
      </x:c>
      <x:c r="E100" s="21"/>
      <x:c r="F100" s="17" t="str">
        <x:v>2 × 50 gp anotados; usadas</x:v>
      </x:c>
      <x:c r="G100" s="17" t="str">
        <x:v>Usado</x:v>
      </x:c>
      <x:c r="H100" s="17" t="str">
        <x:v>Não</x:v>
      </x:c>
      <x:c r="I100" s="21" t="n">
        <x:f>IF(D100&lt;&gt;"",D100,IF(E100&lt;&gt;"",E100,0))</x:f>
        <x:v>100</x:v>
      </x:c>
      <x:c r="J100" s="23" t="n">
        <x:f>IF(G100="Joia",Parametros!$B$3,IF(G100="Mágico",Parametros!$B$4,Parametros!$B$2))</x:f>
        <x:v>0.15</x:v>
      </x:c>
      <x:c r="K100" s="21" t="n">
        <x:f>IF(H100="Sim",I100*(1+J100),0)</x:f>
        <x:v>0</x:v>
      </x:c>
      <x:c r="L100" s="17" t="str">
        <x:v>Já consumido/usado; excluído do caixa.</x:v>
      </x:c>
    </x:row>
    <x:row r="101">
      <x:c r="A101" s="17" t="str">
        <x:v>Sala do Dragão — consumido</x:v>
      </x:c>
      <x:c r="B101" s="17" t="str">
        <x:v>10 gp de Karstaag (usadas)</x:v>
      </x:c>
      <x:c r="C101" s="19" t="n">
        <x:v>1</x:v>
      </x:c>
      <x:c r="D101" s="21" t="n">
        <x:v>10</x:v>
      </x:c>
      <x:c r="E101" s="21"/>
      <x:c r="F101" s="17" t="str">
        <x:v>Anotado como usado</x:v>
      </x:c>
      <x:c r="G101" s="17" t="str">
        <x:v>Usado</x:v>
      </x:c>
      <x:c r="H101" s="17" t="str">
        <x:v>Não</x:v>
      </x:c>
      <x:c r="I101" s="21" t="n">
        <x:f>IF(D101&lt;&gt;"",D101,IF(E101&lt;&gt;"",E101,0))</x:f>
        <x:v>10</x:v>
      </x:c>
      <x:c r="J101" s="23" t="n">
        <x:f>IF(G101="Joia",Parametros!$B$3,IF(G101="Mágico",Parametros!$B$4,Parametros!$B$2))</x:f>
        <x:v>0.15</x:v>
      </x:c>
      <x:c r="K101" s="21" t="n">
        <x:f>IF(H101="Sim",I101*(1+J101),0)</x:f>
        <x:v>0</x:v>
      </x:c>
      <x:c r="L101" s="17" t="str">
        <x:v>Já consumido/usado; excluído do caixa.</x:v>
      </x:c>
    </x:row>
    <x:row r="102">
      <x:c r="A102" s="17" t="str">
        <x:v>Sala do Dragão — consumido</x:v>
      </x:c>
      <x:c r="B102" s="17" t="str">
        <x:v>10 gp de Thorbir (usadas)</x:v>
      </x:c>
      <x:c r="C102" s="19" t="n">
        <x:v>1</x:v>
      </x:c>
      <x:c r="D102" s="21" t="n">
        <x:v>10</x:v>
      </x:c>
      <x:c r="E102" s="21"/>
      <x:c r="F102" s="17" t="str">
        <x:v>Anotado como usado</x:v>
      </x:c>
      <x:c r="G102" s="17" t="str">
        <x:v>Usado</x:v>
      </x:c>
      <x:c r="H102" s="17" t="str">
        <x:v>Não</x:v>
      </x:c>
      <x:c r="I102" s="21" t="n">
        <x:f>IF(D102&lt;&gt;"",D102,IF(E102&lt;&gt;"",E102,0))</x:f>
        <x:v>10</x:v>
      </x:c>
      <x:c r="J102" s="23" t="n">
        <x:f>IF(G102="Joia",Parametros!$B$3,IF(G102="Mágico",Parametros!$B$4,Parametros!$B$2))</x:f>
        <x:v>0.15</x:v>
      </x:c>
      <x:c r="K102" s="21" t="n">
        <x:f>IF(H102="Sim",I102*(1+J102),0)</x:f>
        <x:v>0</x:v>
      </x:c>
      <x:c r="L102" s="17" t="str">
        <x:v>Já consumido/usado; excluído do caixa.</x:v>
      </x:c>
    </x:row>
    <x:row r="103">
      <x:c r="A103" s="17" t="str">
        <x:v>Sala do capiroto</x:v>
      </x:c>
      <x:c r="B103" s="17" t="str">
        <x:v>2 safiras</x:v>
      </x:c>
      <x:c r="C103" s="19" t="n">
        <x:v>1</x:v>
      </x:c>
      <x:c r="D103" s="21" t="n">
        <x:v>100</x:v>
      </x:c>
      <x:c r="E103" s="21"/>
      <x:c r="F103" s="17" t="str">
        <x:v>2 × 50 gp anotados</x:v>
      </x:c>
      <x:c r="G103" s="17" t="str">
        <x:v>Joia</x:v>
      </x:c>
      <x:c r="H103" s="17" t="str">
        <x:v>Sim</x:v>
      </x:c>
      <x:c r="I103" s="21" t="n">
        <x:f>IF(D103&lt;&gt;"",D103,IF(E103&lt;&gt;"",E103,0))</x:f>
        <x:v>100</x:v>
      </x:c>
      <x:c r="J103" s="23" t="n">
        <x:f>IF(G103="Joia",Parametros!$B$3,IF(G103="Mágico",Parametros!$B$4,Parametros!$B$2))</x:f>
        <x:v>0.05</x:v>
      </x:c>
      <x:c r="K103" s="21" t="n">
        <x:f>IF(H103="Sim",I103*(1+J103),0)</x:f>
        <x:v>105</x:v>
      </x:c>
      <x:c r="L103" s="17"/>
    </x:row>
    <x:row r="104">
      <x:c r="A104" s="17" t="str">
        <x:v>Carolyn Ukrele</x:v>
      </x:c>
      <x:c r="B104" s="17" t="str">
        <x:v>Recompensa Carolyn</x:v>
      </x:c>
      <x:c r="C104" s="19" t="n">
        <x:v>1</x:v>
      </x:c>
      <x:c r="D104" s="21" t="n">
        <x:v>1500</x:v>
      </x:c>
      <x:c r="E104" s="21"/>
      <x:c r="F104" s="17" t="str">
        <x:v>500 gp + 1.000 gp anotados</x:v>
      </x:c>
      <x:c r="G104" s="17" t="str">
        <x:v>Recompensa</x:v>
      </x:c>
      <x:c r="H104" s="17" t="str">
        <x:v>Não</x:v>
      </x:c>
      <x:c r="I104" s="21" t="n">
        <x:f>IF(D104&lt;&gt;"",D104,IF(E104&lt;&gt;"",E104,0))</x:f>
        <x:v>1500</x:v>
      </x:c>
      <x:c r="J104" s="23" t="n">
        <x:f>IF(G104="Joia",Parametros!$B$3,IF(G104="Mágico",Parametros!$B$4,Parametros!$B$2))</x:f>
        <x:v>0.15</x:v>
      </x:c>
      <x:c r="K104" s="21" t="n">
        <x:f>IF(H104="Sim",I104*(1+J104),0)</x:f>
        <x:v>0</x:v>
      </x:c>
      <x:c r="L104" s="17"/>
    </x:row>
  </x:sheetData>
  <x:conditionalFormatting sqref="H2:H104">
    <x:cfRule type="expression" dxfId="0" priority="1">
      <x:formula>H2="Sim"</x:formula>
    </x:cfRule>
    <x:cfRule type="expression" dxfId="1" priority="2">
      <x:formula>H2="Não"</x:formula>
    </x:cfRule>
  </x:conditionalFormatting>
  <x:dataValidations count="1">
    <x:dataValidation type="list" sqref="H2:H104">
      <x:formula1>"Sim,Não"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d72334837143e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20" hidden="0" customWidth="1"/>
    <x:col min="3" max="3" width="16" hidden="0" customWidth="1"/>
    <x:col min="4" max="4" width="16" hidden="0" customWidth="1"/>
  </x:cols>
  <x:sheetData>
    <x:row r="1" ht="26" customHeight="1">
      <x:c r="A1" s="27" t="str">
        <x:v>Resumo do caixa e divisão — Amigos do Zé Colmeia</x:v>
      </x:c>
      <x:c r="B1" s="27"/>
      <x:c r="C1" s="27"/>
      <x:c r="D1" s="27"/>
    </x:row>
    <x:row r="2">
      <x:c r="A2" s="10"/>
      <x:c r="B2" s="10"/>
      <x:c r="C2" s="10"/>
      <x:c r="D2" s="10"/>
    </x:row>
    <x:row r="3">
      <x:c r="A3" s="32" t="str">
        <x:v>Componente</x:v>
      </x:c>
      <x:c r="B3" s="32" t="str">
        <x:v>Total (gp)</x:v>
      </x:c>
      <x:c r="C3" s="10"/>
      <x:c r="D3" s="10"/>
    </x:row>
    <x:row r="4">
      <x:c r="A4" s="35" t="str">
        <x:v>Moedas e recompensas em caixa</x:v>
      </x:c>
      <x:c r="B4" s="37" t="n">
        <x:f>SUM(Calculos!D2:D104)</x:f>
        <x:v>2604.6</x:v>
      </x:c>
      <x:c r="C4" s="10"/>
      <x:c r="D4" s="10"/>
    </x:row>
    <x:row r="5">
      <x:c r="A5" s="35" t="str">
        <x:v>Receita estimada de vendas</x:v>
      </x:c>
      <x:c r="B5" s="37" t="n">
        <x:f>SUM(Calculos!E2:E104)</x:f>
        <x:v>1771.0365000000002</x:v>
      </x:c>
      <x:c r="C5" s="10"/>
      <x:c r="D5" s="10"/>
    </x:row>
    <x:row r="6">
      <x:c r="A6" s="39" t="str">
        <x:v>Total disponível para dividir</x:v>
      </x:c>
      <x:c r="B6" s="41" t="n">
        <x:f>B4+B5</x:f>
        <x:v>4375.6365000000005</x:v>
      </x:c>
      <x:c r="C6" s="10"/>
      <x:c r="D6" s="10"/>
    </x:row>
    <x:row r="7">
      <x:c r="A7" s="39" t="str">
        <x:v>Divisão por pessoa</x:v>
      </x:c>
      <x:c r="B7" s="41" t="n">
        <x:f>B6/Parametros!$B$5</x:f>
        <x:v>1458.5455000000002</x:v>
      </x:c>
      <x:c r="C7" s="10"/>
      <x:c r="D7" s="10"/>
    </x:row>
    <x:row r="8">
      <x:c r="A8" s="35" t="str">
        <x:v>Itens mantidos (valor de referência)</x:v>
      </x:c>
      <x:c r="B8" s="37" t="n">
        <x:f>SUM(Calculos!F2:F104)</x:f>
        <x:v>5623</x:v>
      </x:c>
      <x:c r="C8" s="10"/>
      <x:c r="D8" s="10"/>
    </x:row>
    <x:row r="9">
      <x:c r="A9" s="10"/>
      <x:c r="B9" s="10"/>
      <x:c r="C9" s="10"/>
      <x:c r="D9" s="10"/>
    </x:row>
    <x:row r="10">
      <x:c r="A10" s="3" t="str">
        <x:v>Personagem</x:v>
      </x:c>
      <x:c r="B10" s="3" t="str">
        <x:v>Parte igual (gp)</x:v>
      </x:c>
      <x:c r="C10" s="10"/>
      <x:c r="D10" s="10"/>
    </x:row>
    <x:row r="11">
      <x:c r="A11" s="10" t="str">
        <x:v>Karstaag</x:v>
      </x:c>
      <x:c r="B11" s="37" t="n">
        <x:f>$B$7</x:f>
        <x:v>1458.5455000000002</x:v>
      </x:c>
      <x:c r="C11" s="10"/>
      <x:c r="D11" s="10"/>
    </x:row>
    <x:row r="12">
      <x:c r="A12" s="10" t="str">
        <x:v>Thorbir</x:v>
      </x:c>
      <x:c r="B12" s="37" t="n">
        <x:f>$B$7</x:f>
        <x:v>1458.5455000000002</x:v>
      </x:c>
      <x:c r="C12" s="10"/>
      <x:c r="D12" s="10"/>
    </x:row>
    <x:row r="13">
      <x:c r="A13" s="10" t="str">
        <x:v>Mercival</x:v>
      </x:c>
      <x:c r="B13" s="37" t="n">
        <x:f>$B$7</x:f>
        <x:v>1458.5455000000002</x:v>
      </x:c>
      <x:c r="C13" s="10"/>
      <x:c r="D13" s="10"/>
    </x:row>
    <x:row r="14">
      <x:c r="A14" s="10"/>
      <x:c r="B14" s="10"/>
      <x:c r="C14" s="10"/>
      <x:c r="D14" s="10"/>
    </x:row>
    <x:row r="15">
      <x:c r="A15" s="32" t="str">
        <x:v>Notas</x:v>
      </x:c>
      <x:c r="B15" s="32"/>
      <x:c r="C15" s="32"/>
      <x:c r="D15" s="32"/>
    </x:row>
    <x:row r="16">
      <x:c r="A16" s="17" t="str">
        <x:v>• Itens marcados como “Não” não entram na venda nem na divisão de caixa.</x:v>
      </x:c>
      <x:c r="B16" s="17"/>
      <x:c r="C16" s="17"/>
      <x:c r="D16" s="17"/>
    </x:row>
    <x:row r="17">
      <x:c r="A17" s="17" t="str">
        <x:v>• Moedas e recompensa entram integralmente no caixa; não recebem bônus de venda.</x:v>
      </x:c>
      <x:c r="B17" s="17"/>
      <x:c r="C17" s="17"/>
      <x:c r="D17" s="17"/>
    </x:row>
    <x:row r="18">
      <x:c r="A18" s="17" t="str">
        <x:v>• Bônus aplicados: 15% comuns, 5% joias/arte e 15% mágicos (caso a decisão seja alterada).</x:v>
      </x:c>
      <x:c r="B18" s="17"/>
      <x:c r="C18" s="17"/>
      <x:c r="D18" s="17"/>
    </x:row>
    <x:row r="19">
      <x:c r="A19" s="17" t="str">
        <x:v>• Valores “estimados” são referência de mesa e devem ser ajustados ao avaliar com comerciante/Mestre.</x:v>
      </x:c>
      <x:c r="B19" s="17"/>
      <x:c r="C19" s="17"/>
      <x:c r="D19" s="17"/>
    </x:row>
  </x:sheetData>
  <x:mergeCells>
    <x:mergeCell ref="A1:D1"/>
    <x:mergeCell ref="A15:D15"/>
    <x:mergeCell ref="A16:D16"/>
    <x:mergeCell ref="A17:D17"/>
    <x:mergeCell ref="A18:D18"/>
    <x:mergeCell ref="A19:D1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4.5" hidden="0" customWidth="1"/>
  </x:cols>
  <x:sheetData>
    <x:row r="1">
      <x:c r="A1" s="4" t="str">
        <x:v>Parâmetro</x:v>
      </x:c>
      <x:c r="B1" s="4" t="str">
        <x:v>Valor</x:v>
      </x:c>
    </x:row>
    <x:row r="2">
      <x:c r="A2" s="10" t="str">
        <x:v>Bônus de venda — itens comuns</x:v>
      </x:c>
      <x:c r="B2" s="8" t="n">
        <x:v>0.15</x:v>
      </x:c>
    </x:row>
    <x:row r="3">
      <x:c r="A3" s="10" t="str">
        <x:v>Bônus de venda — gemas/arte</x:v>
      </x:c>
      <x:c r="B3" s="8" t="n">
        <x:v>0.05</x:v>
      </x:c>
    </x:row>
    <x:row r="4">
      <x:c r="A4" s="10" t="str">
        <x:v>Bônus de venda — itens mágicos</x:v>
      </x:c>
      <x:c r="B4" s="8" t="n">
        <x:v>0.15</x:v>
      </x:c>
    </x:row>
    <x:row r="5">
      <x:c r="A5" s="10" t="str">
        <x:v>Divisores (membros)</x:v>
      </x:c>
      <x:c r="B5" s="10" t="n">
        <x:v>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Parâmetro</x:v>
      </x:c>
      <x:c r="B1" t="str">
        <x:v>Valor</x:v>
      </x:c>
    </x:row>
    <x:row r="2">
      <x:c r="A2" t="str">
        <x:v>Bônus de venda — itens comuns</x:v>
      </x:c>
      <x:c r="B2" t="n">
        <x:v>0.15</x:v>
      </x:c>
    </x:row>
    <x:row r="3">
      <x:c r="A3" t="str">
        <x:v>Bônus de venda — gemas/arte</x:v>
      </x:c>
      <x:c r="B3" t="n">
        <x:v>0.05</x:v>
      </x:c>
    </x:row>
    <x:row r="4">
      <x:c r="A4" t="str">
        <x:v>Bônus de venda — itens mágicos</x:v>
      </x:c>
      <x:c r="B4" t="n">
        <x:v>0.15</x:v>
      </x:c>
    </x:row>
    <x:row r="5">
      <x:c r="A5" t="str">
        <x:v>Divisores (membros)</x:v>
      </x:c>
      <x:c r="B5" t="n">
        <x:v>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32" t="str">
        <x:v>Categoria</x:v>
      </x:c>
      <x:c r="B1" s="32" t="str">
        <x:v>Vender?</x:v>
      </x:c>
      <x:c r="C1" s="32" t="str">
        <x:v>Base</x:v>
      </x:c>
      <x:c r="D1" s="32" t="str">
        <x:v>Caixa</x:v>
      </x:c>
      <x:c r="E1" s="32" t="str">
        <x:v>Venda</x:v>
      </x:c>
      <x:c r="F1" s="32" t="str">
        <x:v>Mantido</x:v>
      </x:c>
    </x:row>
    <x:row r="2">
      <x:c r="A2" t="str">
        <x:v>Item comum</x:v>
      </x:c>
      <x:c r="B2" t="str">
        <x:v>Sim</x:v>
      </x:c>
      <x:c r="C2" s="37" t="n">
        <x:v>25</x:v>
      </x:c>
      <x:c r="D2" s="37" t="n">
        <x:v>0</x:v>
      </x:c>
      <x:c r="E2" s="37" t="n">
        <x:v>28.749999999999996</x:v>
      </x:c>
      <x:c r="F2" s="37" t="n">
        <x:v>0</x:v>
      </x:c>
    </x:row>
    <x:row r="3">
      <x:c r="A3" t="str">
        <x:v>Item comum</x:v>
      </x:c>
      <x:c r="B3" t="str">
        <x:v>Sim</x:v>
      </x:c>
      <x:c r="C3" s="37" t="n">
        <x:v>10</x:v>
      </x:c>
      <x:c r="D3" s="37" t="n">
        <x:v>0</x:v>
      </x:c>
      <x:c r="E3" s="37" t="n">
        <x:v>11.5</x:v>
      </x:c>
      <x:c r="F3" s="37" t="n">
        <x:v>0</x:v>
      </x:c>
    </x:row>
    <x:row r="4">
      <x:c r="A4" t="str">
        <x:v>Moedas</x:v>
      </x:c>
      <x:c r="B4" t="str">
        <x:v>Não</x:v>
      </x:c>
      <x:c r="C4" s="37" t="n">
        <x:v>4.3</x:v>
      </x:c>
      <x:c r="D4" s="37" t="n">
        <x:v>4.3</x:v>
      </x:c>
      <x:c r="E4" s="37" t="n">
        <x:v>0</x:v>
      </x:c>
      <x:c r="F4" s="37" t="n">
        <x:v>0</x:v>
      </x:c>
    </x:row>
    <x:row r="5">
      <x:c r="A5" t="str">
        <x:v>Moedas</x:v>
      </x:c>
      <x:c r="B5" t="str">
        <x:v>Não</x:v>
      </x:c>
      <x:c r="C5" s="37" t="n">
        <x:v>9</x:v>
      </x:c>
      <x:c r="D5" s="37" t="n">
        <x:v>9</x:v>
      </x:c>
      <x:c r="E5" s="37" t="n">
        <x:v>0</x:v>
      </x:c>
      <x:c r="F5" s="37" t="n">
        <x:v>0</x:v>
      </x:c>
    </x:row>
    <x:row r="6">
      <x:c r="A6" t="str">
        <x:v>Mágico</x:v>
      </x:c>
      <x:c r="B6" t="str">
        <x:v>Não</x:v>
      </x:c>
      <x:c r="C6" s="37" t="n">
        <x:v>150</x:v>
      </x:c>
      <x:c r="D6" s="37" t="n">
        <x:v>0</x:v>
      </x:c>
      <x:c r="E6" s="37" t="n">
        <x:v>0</x:v>
      </x:c>
      <x:c r="F6" s="37" t="n">
        <x:v>150</x:v>
      </x:c>
    </x:row>
    <x:row r="7">
      <x:c r="A7" t="str">
        <x:v>Especial</x:v>
      </x:c>
      <x:c r="B7" t="str">
        <x:v>Não</x:v>
      </x:c>
      <x:c r="C7" s="37" t="n">
        <x:v>25</x:v>
      </x:c>
      <x:c r="D7" s="37" t="n">
        <x:v>0</x:v>
      </x:c>
      <x:c r="E7" s="37" t="n">
        <x:v>0</x:v>
      </x:c>
      <x:c r="F7" s="37" t="n">
        <x:v>25</x:v>
      </x:c>
    </x:row>
    <x:row r="8">
      <x:c r="A8" t="str">
        <x:v>Item comum</x:v>
      </x:c>
      <x:c r="B8" t="str">
        <x:v>Sim</x:v>
      </x:c>
      <x:c r="C8" s="37" t="n">
        <x:v>5</x:v>
      </x:c>
      <x:c r="D8" s="37" t="n">
        <x:v>0</x:v>
      </x:c>
      <x:c r="E8" s="37" t="n">
        <x:v>5.75</x:v>
      </x:c>
      <x:c r="F8" s="37" t="n">
        <x:v>0</x:v>
      </x:c>
    </x:row>
    <x:row r="9">
      <x:c r="A9" t="str">
        <x:v>Item comum</x:v>
      </x:c>
      <x:c r="B9" t="str">
        <x:v>Sim</x:v>
      </x:c>
      <x:c r="C9" s="37" t="n">
        <x:v>12.5</x:v>
      </x:c>
      <x:c r="D9" s="37" t="n">
        <x:v>0</x:v>
      </x:c>
      <x:c r="E9" s="37" t="n">
        <x:v>14.374999999999998</x:v>
      </x:c>
      <x:c r="F9" s="37" t="n">
        <x:v>0</x:v>
      </x:c>
    </x:row>
    <x:row r="10">
      <x:c r="A10" t="str">
        <x:v>Item comum</x:v>
      </x:c>
      <x:c r="B10" t="str">
        <x:v>Sim</x:v>
      </x:c>
      <x:c r="C10" s="37" t="n">
        <x:v>0.8</x:v>
      </x:c>
      <x:c r="D10" s="37" t="n">
        <x:v>0</x:v>
      </x:c>
      <x:c r="E10" s="37" t="n">
        <x:v>0.9199999999999999</x:v>
      </x:c>
      <x:c r="F10" s="37" t="n">
        <x:v>0</x:v>
      </x:c>
    </x:row>
    <x:row r="11">
      <x:c r="A11" t="str">
        <x:v>Mágico</x:v>
      </x:c>
      <x:c r="B11" t="str">
        <x:v>Não</x:v>
      </x:c>
      <x:c r="C11" s="37" t="n">
        <x:v>500</x:v>
      </x:c>
      <x:c r="D11" s="37" t="n">
        <x:v>0</x:v>
      </x:c>
      <x:c r="E11" s="37" t="n">
        <x:v>0</x:v>
      </x:c>
      <x:c r="F11" s="37" t="n">
        <x:v>500</x:v>
      </x:c>
    </x:row>
    <x:row r="12">
      <x:c r="A12" t="str">
        <x:v>Mágico</x:v>
      </x:c>
      <x:c r="B12" t="str">
        <x:v>Não</x:v>
      </x:c>
      <x:c r="C12" s="37" t="n">
        <x:v>300</x:v>
      </x:c>
      <x:c r="D12" s="37" t="n">
        <x:v>0</x:v>
      </x:c>
      <x:c r="E12" s="37" t="n">
        <x:v>0</x:v>
      </x:c>
      <x:c r="F12" s="37" t="n">
        <x:v>300</x:v>
      </x:c>
    </x:row>
    <x:row r="13">
      <x:c r="A13" t="str">
        <x:v>Mágico</x:v>
      </x:c>
      <x:c r="B13" t="str">
        <x:v>Não</x:v>
      </x:c>
      <x:c r="C13" s="37" t="n">
        <x:v>150</x:v>
      </x:c>
      <x:c r="D13" s="37" t="n">
        <x:v>0</x:v>
      </x:c>
      <x:c r="E13" s="37" t="n">
        <x:v>0</x:v>
      </x:c>
      <x:c r="F13" s="37" t="n">
        <x:v>150</x:v>
      </x:c>
    </x:row>
    <x:row r="14">
      <x:c r="A14" t="str">
        <x:v>Item comum</x:v>
      </x:c>
      <x:c r="B14" t="str">
        <x:v>Sim</x:v>
      </x:c>
      <x:c r="C14" s="37" t="n">
        <x:v>0.01</x:v>
      </x:c>
      <x:c r="D14" s="37" t="n">
        <x:v>0</x:v>
      </x:c>
      <x:c r="E14" s="37" t="n">
        <x:v>0.0115</x:v>
      </x:c>
      <x:c r="F14" s="37" t="n">
        <x:v>0</x:v>
      </x:c>
    </x:row>
    <x:row r="15">
      <x:c r="A15" t="str">
        <x:v>Joia</x:v>
      </x:c>
      <x:c r="B15" t="str">
        <x:v>Sim</x:v>
      </x:c>
      <x:c r="C15" s="37" t="n">
        <x:v>90</x:v>
      </x:c>
      <x:c r="D15" s="37" t="n">
        <x:v>0</x:v>
      </x:c>
      <x:c r="E15" s="37" t="n">
        <x:v>94.5</x:v>
      </x:c>
      <x:c r="F15" s="37" t="n">
        <x:v>0</x:v>
      </x:c>
    </x:row>
    <x:row r="16">
      <x:c r="A16" t="str">
        <x:v>Moedas</x:v>
      </x:c>
      <x:c r="B16" t="str">
        <x:v>Não</x:v>
      </x:c>
      <x:c r="C16" s="37" t="n">
        <x:v>31.2</x:v>
      </x:c>
      <x:c r="D16" s="37" t="n">
        <x:v>31.2</x:v>
      </x:c>
      <x:c r="E16" s="37" t="n">
        <x:v>0</x:v>
      </x:c>
      <x:c r="F16" s="37" t="n">
        <x:v>0</x:v>
      </x:c>
    </x:row>
    <x:row r="17">
      <x:c r="A17" t="str">
        <x:v>Moedas</x:v>
      </x:c>
      <x:c r="B17" t="str">
        <x:v>Não</x:v>
      </x:c>
      <x:c r="C17" s="37" t="n">
        <x:v>68</x:v>
      </x:c>
      <x:c r="D17" s="37" t="n">
        <x:v>68</x:v>
      </x:c>
      <x:c r="E17" s="37" t="n">
        <x:v>0</x:v>
      </x:c>
      <x:c r="F17" s="37" t="n">
        <x:v>0</x:v>
      </x:c>
    </x:row>
    <x:row r="18">
      <x:c r="A18" t="str">
        <x:v>Moedas</x:v>
      </x:c>
      <x:c r="B18" t="str">
        <x:v>Não</x:v>
      </x:c>
      <x:c r="C18" s="37" t="n">
        <x:v>17</x:v>
      </x:c>
      <x:c r="D18" s="37" t="n">
        <x:v>17</x:v>
      </x:c>
      <x:c r="E18" s="37" t="n">
        <x:v>0</x:v>
      </x:c>
      <x:c r="F18" s="37" t="n">
        <x:v>0</x:v>
      </x:c>
    </x:row>
    <x:row r="19">
      <x:c r="A19" t="str">
        <x:v>Item de missão</x:v>
      </x:c>
      <x:c r="B19" t="str">
        <x:v>Não</x:v>
      </x:c>
      <x:c r="C19" s="37" t="n">
        <x:v>25</x:v>
      </x:c>
      <x:c r="D19" s="37" t="n">
        <x:v>0</x:v>
      </x:c>
      <x:c r="E19" s="37" t="n">
        <x:v>0</x:v>
      </x:c>
      <x:c r="F19" s="37" t="n">
        <x:v>25</x:v>
      </x:c>
    </x:row>
    <x:row r="20">
      <x:c r="A20" t="str">
        <x:v>Item comum</x:v>
      </x:c>
      <x:c r="B20" t="str">
        <x:v>Sim</x:v>
      </x:c>
      <x:c r="C20" s="37" t="n">
        <x:v>4</x:v>
      </x:c>
      <x:c r="D20" s="37" t="n">
        <x:v>0</x:v>
      </x:c>
      <x:c r="E20" s="37" t="n">
        <x:v>4.6</x:v>
      </x:c>
      <x:c r="F20" s="37" t="n">
        <x:v>0</x:v>
      </x:c>
    </x:row>
    <x:row r="21">
      <x:c r="A21" t="str">
        <x:v>Item comum</x:v>
      </x:c>
      <x:c r="B21" t="str">
        <x:v>Sim</x:v>
      </x:c>
      <x:c r="C21" s="37" t="n">
        <x:v>50</x:v>
      </x:c>
      <x:c r="D21" s="37" t="n">
        <x:v>0</x:v>
      </x:c>
      <x:c r="E21" s="37" t="n">
        <x:v>57.49999999999999</x:v>
      </x:c>
      <x:c r="F21" s="37" t="n">
        <x:v>0</x:v>
      </x:c>
    </x:row>
    <x:row r="22">
      <x:c r="A22" t="str">
        <x:v>Item comum</x:v>
      </x:c>
      <x:c r="B22" t="str">
        <x:v>Sim</x:v>
      </x:c>
      <x:c r="C22" s="37" t="n">
        <x:v>1</x:v>
      </x:c>
      <x:c r="D22" s="37" t="n">
        <x:v>0</x:v>
      </x:c>
      <x:c r="E22" s="37" t="n">
        <x:v>1.15</x:v>
      </x:c>
      <x:c r="F22" s="37" t="n">
        <x:v>0</x:v>
      </x:c>
    </x:row>
    <x:row r="23">
      <x:c r="A23" t="str">
        <x:v>Joia</x:v>
      </x:c>
      <x:c r="B23" t="str">
        <x:v>Sim</x:v>
      </x:c>
      <x:c r="C23" s="37" t="n">
        <x:v>75</x:v>
      </x:c>
      <x:c r="D23" s="37" t="n">
        <x:v>0</x:v>
      </x:c>
      <x:c r="E23" s="37" t="n">
        <x:v>78.75</x:v>
      </x:c>
      <x:c r="F23" s="37" t="n">
        <x:v>0</x:v>
      </x:c>
    </x:row>
    <x:row r="24">
      <x:c r="A24" t="str">
        <x:v>Item comum</x:v>
      </x:c>
      <x:c r="B24" t="str">
        <x:v>Sim</x:v>
      </x:c>
      <x:c r="C24" s="37" t="n">
        <x:v>4</x:v>
      </x:c>
      <x:c r="D24" s="37" t="n">
        <x:v>0</x:v>
      </x:c>
      <x:c r="E24" s="37" t="n">
        <x:v>4.6</x:v>
      </x:c>
      <x:c r="F24" s="37" t="n">
        <x:v>0</x:v>
      </x:c>
    </x:row>
    <x:row r="25">
      <x:c r="A25" t="str">
        <x:v>Item comum</x:v>
      </x:c>
      <x:c r="B25" t="str">
        <x:v>Sim</x:v>
      </x:c>
      <x:c r="C25" s="37" t="n">
        <x:v>0.5</x:v>
      </x:c>
      <x:c r="D25" s="37" t="n">
        <x:v>0</x:v>
      </x:c>
      <x:c r="E25" s="37" t="n">
        <x:v>0.575</x:v>
      </x:c>
      <x:c r="F25" s="37" t="n">
        <x:v>0</x:v>
      </x:c>
    </x:row>
    <x:row r="26">
      <x:c r="A26" t="str">
        <x:v>Moedas</x:v>
      </x:c>
      <x:c r="B26" t="str">
        <x:v>Não</x:v>
      </x:c>
      <x:c r="C26" s="37" t="n">
        <x:v>50</x:v>
      </x:c>
      <x:c r="D26" s="37" t="n">
        <x:v>50</x:v>
      </x:c>
      <x:c r="E26" s="37" t="n">
        <x:v>0</x:v>
      </x:c>
      <x:c r="F26" s="37" t="n">
        <x:v>0</x:v>
      </x:c>
    </x:row>
    <x:row r="27">
      <x:c r="A27" t="str">
        <x:v>Item comum</x:v>
      </x:c>
      <x:c r="B27" t="str">
        <x:v>Sim</x:v>
      </x:c>
      <x:c r="C27" s="37" t="n">
        <x:v>25</x:v>
      </x:c>
      <x:c r="D27" s="37" t="n">
        <x:v>0</x:v>
      </x:c>
      <x:c r="E27" s="37" t="n">
        <x:v>28.749999999999996</x:v>
      </x:c>
      <x:c r="F27" s="37" t="n">
        <x:v>0</x:v>
      </x:c>
    </x:row>
    <x:row r="28">
      <x:c r="A28" t="str">
        <x:v>Item comum</x:v>
      </x:c>
      <x:c r="B28" t="str">
        <x:v>Sim</x:v>
      </x:c>
      <x:c r="C28" s="37" t="n">
        <x:v>25</x:v>
      </x:c>
      <x:c r="D28" s="37" t="n">
        <x:v>0</x:v>
      </x:c>
      <x:c r="E28" s="37" t="n">
        <x:v>28.749999999999996</x:v>
      </x:c>
      <x:c r="F28" s="37" t="n">
        <x:v>0</x:v>
      </x:c>
    </x:row>
    <x:row r="29">
      <x:c r="A29" t="str">
        <x:v>Item de missão</x:v>
      </x:c>
      <x:c r="B29" t="str">
        <x:v>Não</x:v>
      </x:c>
      <x:c r="C29" s="37" t="n">
        <x:v>0</x:v>
      </x:c>
      <x:c r="D29" s="37" t="n">
        <x:v>0</x:v>
      </x:c>
      <x:c r="E29" s="37" t="n">
        <x:v>0</x:v>
      </x:c>
      <x:c r="F29" s="37" t="n">
        <x:v>0</x:v>
      </x:c>
    </x:row>
    <x:row r="30">
      <x:c r="A30" t="str">
        <x:v>Arte</x:v>
      </x:c>
      <x:c r="B30" t="str">
        <x:v>Sim</x:v>
      </x:c>
      <x:c r="C30" s="37" t="n">
        <x:v>50</x:v>
      </x:c>
      <x:c r="D30" s="37" t="n">
        <x:v>0</x:v>
      </x:c>
      <x:c r="E30" s="37" t="n">
        <x:v>57.49999999999999</x:v>
      </x:c>
      <x:c r="F30" s="37" t="n">
        <x:v>0</x:v>
      </x:c>
    </x:row>
    <x:row r="31">
      <x:c r="A31" t="str">
        <x:v>Item comum</x:v>
      </x:c>
      <x:c r="B31" t="str">
        <x:v>Sim</x:v>
      </x:c>
      <x:c r="C31" s="37" t="n">
        <x:v>225</x:v>
      </x:c>
      <x:c r="D31" s="37" t="n">
        <x:v>0</x:v>
      </x:c>
      <x:c r="E31" s="37" t="n">
        <x:v>258.75</x:v>
      </x:c>
      <x:c r="F31" s="37" t="n">
        <x:v>0</x:v>
      </x:c>
    </x:row>
    <x:row r="32">
      <x:c r="A32" t="str">
        <x:v>Item comum</x:v>
      </x:c>
      <x:c r="B32" t="str">
        <x:v>Sim</x:v>
      </x:c>
      <x:c r="C32" s="37" t="n">
        <x:v>50</x:v>
      </x:c>
      <x:c r="D32" s="37" t="n">
        <x:v>0</x:v>
      </x:c>
      <x:c r="E32" s="37" t="n">
        <x:v>57.49999999999999</x:v>
      </x:c>
      <x:c r="F32" s="37" t="n">
        <x:v>0</x:v>
      </x:c>
    </x:row>
    <x:row r="33">
      <x:c r="A33" t="str">
        <x:v>Item comum</x:v>
      </x:c>
      <x:c r="B33" t="str">
        <x:v>Sim</x:v>
      </x:c>
      <x:c r="C33" s="37" t="n">
        <x:v>0.5</x:v>
      </x:c>
      <x:c r="D33" s="37" t="n">
        <x:v>0</x:v>
      </x:c>
      <x:c r="E33" s="37" t="n">
        <x:v>0.575</x:v>
      </x:c>
      <x:c r="F33" s="37" t="n">
        <x:v>0</x:v>
      </x:c>
    </x:row>
    <x:row r="34">
      <x:c r="A34" t="str">
        <x:v>Especial</x:v>
      </x:c>
      <x:c r="B34" t="str">
        <x:v>Não</x:v>
      </x:c>
      <x:c r="C34" s="37" t="n">
        <x:v>1</x:v>
      </x:c>
      <x:c r="D34" s="37" t="n">
        <x:v>0</x:v>
      </x:c>
      <x:c r="E34" s="37" t="n">
        <x:v>0</x:v>
      </x:c>
      <x:c r="F34" s="37" t="n">
        <x:v>1</x:v>
      </x:c>
    </x:row>
    <x:row r="35">
      <x:c r="A35" t="str">
        <x:v>Item comum</x:v>
      </x:c>
      <x:c r="B35" t="str">
        <x:v>Sim</x:v>
      </x:c>
      <x:c r="C35" s="37" t="n">
        <x:v>50</x:v>
      </x:c>
      <x:c r="D35" s="37" t="n">
        <x:v>0</x:v>
      </x:c>
      <x:c r="E35" s="37" t="n">
        <x:v>57.49999999999999</x:v>
      </x:c>
      <x:c r="F35" s="37" t="n">
        <x:v>0</x:v>
      </x:c>
    </x:row>
    <x:row r="36">
      <x:c r="A36" t="str">
        <x:v>Item comum</x:v>
      </x:c>
      <x:c r="B36" t="str">
        <x:v>Sim</x:v>
      </x:c>
      <x:c r="C36" s="37" t="n">
        <x:v>75</x:v>
      </x:c>
      <x:c r="D36" s="37" t="n">
        <x:v>0</x:v>
      </x:c>
      <x:c r="E36" s="37" t="n">
        <x:v>86.25</x:v>
      </x:c>
      <x:c r="F36" s="37" t="n">
        <x:v>0</x:v>
      </x:c>
    </x:row>
    <x:row r="37">
      <x:c r="A37" t="str">
        <x:v>Item comum</x:v>
      </x:c>
      <x:c r="B37" t="str">
        <x:v>Sim</x:v>
      </x:c>
      <x:c r="C37" s="37" t="n">
        <x:v>1</x:v>
      </x:c>
      <x:c r="D37" s="37" t="n">
        <x:v>0</x:v>
      </x:c>
      <x:c r="E37" s="37" t="n">
        <x:v>1.15</x:v>
      </x:c>
      <x:c r="F37" s="37" t="n">
        <x:v>0</x:v>
      </x:c>
    </x:row>
    <x:row r="38">
      <x:c r="A38" t="str">
        <x:v>Joia</x:v>
      </x:c>
      <x:c r="B38" t="str">
        <x:v>Sim</x:v>
      </x:c>
      <x:c r="C38" s="37" t="n">
        <x:v>20</x:v>
      </x:c>
      <x:c r="D38" s="37" t="n">
        <x:v>0</x:v>
      </x:c>
      <x:c r="E38" s="37" t="n">
        <x:v>21</x:v>
      </x:c>
      <x:c r="F38" s="37" t="n">
        <x:v>0</x:v>
      </x:c>
    </x:row>
    <x:row r="39">
      <x:c r="A39" t="str">
        <x:v>Arte</x:v>
      </x:c>
      <x:c r="B39" t="str">
        <x:v>Sim</x:v>
      </x:c>
      <x:c r="C39" s="37" t="n">
        <x:v>5</x:v>
      </x:c>
      <x:c r="D39" s="37" t="n">
        <x:v>0</x:v>
      </x:c>
      <x:c r="E39" s="37" t="n">
        <x:v>5.75</x:v>
      </x:c>
      <x:c r="F39" s="37" t="n">
        <x:v>0</x:v>
      </x:c>
    </x:row>
    <x:row r="40">
      <x:c r="A40" t="str">
        <x:v>Arte</x:v>
      </x:c>
      <x:c r="B40" t="str">
        <x:v>Sim</x:v>
      </x:c>
      <x:c r="C40" s="37" t="n">
        <x:v>24</x:v>
      </x:c>
      <x:c r="D40" s="37" t="n">
        <x:v>0</x:v>
      </x:c>
      <x:c r="E40" s="37" t="n">
        <x:v>27.599999999999998</x:v>
      </x:c>
      <x:c r="F40" s="37" t="n">
        <x:v>0</x:v>
      </x:c>
    </x:row>
    <x:row r="41">
      <x:c r="A41" t="str">
        <x:v>Lore</x:v>
      </x:c>
      <x:c r="B41" t="str">
        <x:v>Não</x:v>
      </x:c>
      <x:c r="C41" s="37" t="n">
        <x:v>5</x:v>
      </x:c>
      <x:c r="D41" s="37" t="n">
        <x:v>0</x:v>
      </x:c>
      <x:c r="E41" s="37" t="n">
        <x:v>0</x:v>
      </x:c>
      <x:c r="F41" s="37" t="n">
        <x:v>5</x:v>
      </x:c>
    </x:row>
    <x:row r="42">
      <x:c r="A42" t="str">
        <x:v>Mágico</x:v>
      </x:c>
      <x:c r="B42" t="str">
        <x:v>Não</x:v>
      </x:c>
      <x:c r="C42" s="37" t="n">
        <x:v>50</x:v>
      </x:c>
      <x:c r="D42" s="37" t="n">
        <x:v>0</x:v>
      </x:c>
      <x:c r="E42" s="37" t="n">
        <x:v>0</x:v>
      </x:c>
      <x:c r="F42" s="37" t="n">
        <x:v>50</x:v>
      </x:c>
    </x:row>
    <x:row r="43">
      <x:c r="A43" t="str">
        <x:v>Mágico</x:v>
      </x:c>
      <x:c r="B43" t="str">
        <x:v>Não</x:v>
      </x:c>
      <x:c r="C43" s="37" t="n">
        <x:v>500</x:v>
      </x:c>
      <x:c r="D43" s="37" t="n">
        <x:v>0</x:v>
      </x:c>
      <x:c r="E43" s="37" t="n">
        <x:v>0</x:v>
      </x:c>
      <x:c r="F43" s="37" t="n">
        <x:v>500</x:v>
      </x:c>
    </x:row>
    <x:row r="44">
      <x:c r="A44" t="str">
        <x:v>Mágico</x:v>
      </x:c>
      <x:c r="B44" t="str">
        <x:v>Não</x:v>
      </x:c>
      <x:c r="C44" s="37" t="n">
        <x:v>50</x:v>
      </x:c>
      <x:c r="D44" s="37" t="n">
        <x:v>0</x:v>
      </x:c>
      <x:c r="E44" s="37" t="n">
        <x:v>0</x:v>
      </x:c>
      <x:c r="F44" s="37" t="n">
        <x:v>50</x:v>
      </x:c>
    </x:row>
    <x:row r="45">
      <x:c r="A45" t="str">
        <x:v>Mágico</x:v>
      </x:c>
      <x:c r="B45" t="str">
        <x:v>Não</x:v>
      </x:c>
      <x:c r="C45" s="37" t="n">
        <x:v>50</x:v>
      </x:c>
      <x:c r="D45" s="37" t="n">
        <x:v>0</x:v>
      </x:c>
      <x:c r="E45" s="37" t="n">
        <x:v>0</x:v>
      </x:c>
      <x:c r="F45" s="37" t="n">
        <x:v>50</x:v>
      </x:c>
    </x:row>
    <x:row r="46">
      <x:c r="A46" t="str">
        <x:v>Mágico</x:v>
      </x:c>
      <x:c r="B46" t="str">
        <x:v>Não</x:v>
      </x:c>
      <x:c r="C46" s="37" t="n">
        <x:v>50</x:v>
      </x:c>
      <x:c r="D46" s="37" t="n">
        <x:v>0</x:v>
      </x:c>
      <x:c r="E46" s="37" t="n">
        <x:v>0</x:v>
      </x:c>
      <x:c r="F46" s="37" t="n">
        <x:v>50</x:v>
      </x:c>
    </x:row>
    <x:row r="47">
      <x:c r="A47" t="str">
        <x:v>Mágico</x:v>
      </x:c>
      <x:c r="B47" t="str">
        <x:v>Não</x:v>
      </x:c>
      <x:c r="C47" s="37" t="n">
        <x:v>600</x:v>
      </x:c>
      <x:c r="D47" s="37" t="n">
        <x:v>0</x:v>
      </x:c>
      <x:c r="E47" s="37" t="n">
        <x:v>0</x:v>
      </x:c>
      <x:c r="F47" s="37" t="n">
        <x:v>600</x:v>
      </x:c>
    </x:row>
    <x:row r="48">
      <x:c r="A48" t="str">
        <x:v>Moedas</x:v>
      </x:c>
      <x:c r="B48" t="str">
        <x:v>Não</x:v>
      </x:c>
      <x:c r="C48" s="37" t="n">
        <x:v>35</x:v>
      </x:c>
      <x:c r="D48" s="37" t="n">
        <x:v>35</x:v>
      </x:c>
      <x:c r="E48" s="37" t="n">
        <x:v>0</x:v>
      </x:c>
      <x:c r="F48" s="37" t="n">
        <x:v>0</x:v>
      </x:c>
    </x:row>
    <x:row r="49">
      <x:c r="A49" t="str">
        <x:v>Moedas</x:v>
      </x:c>
      <x:c r="B49" t="str">
        <x:v>Não</x:v>
      </x:c>
      <x:c r="C49" s="37" t="n">
        <x:v>22</x:v>
      </x:c>
      <x:c r="D49" s="37" t="n">
        <x:v>22</x:v>
      </x:c>
      <x:c r="E49" s="37" t="n">
        <x:v>0</x:v>
      </x:c>
      <x:c r="F49" s="37" t="n">
        <x:v>0</x:v>
      </x:c>
    </x:row>
    <x:row r="50">
      <x:c r="A50" t="str">
        <x:v>Moedas</x:v>
      </x:c>
      <x:c r="B50" t="str">
        <x:v>Não</x:v>
      </x:c>
      <x:c r="C50" s="37" t="n">
        <x:v>50</x:v>
      </x:c>
      <x:c r="D50" s="37" t="n">
        <x:v>50</x:v>
      </x:c>
      <x:c r="E50" s="37" t="n">
        <x:v>0</x:v>
      </x:c>
      <x:c r="F50" s="37" t="n">
        <x:v>0</x:v>
      </x:c>
    </x:row>
    <x:row r="51">
      <x:c r="A51" t="str">
        <x:v>Mágico</x:v>
      </x:c>
      <x:c r="B51" t="str">
        <x:v>Não</x:v>
      </x:c>
      <x:c r="C51" s="37" t="n">
        <x:v>50</x:v>
      </x:c>
      <x:c r="D51" s="37" t="n">
        <x:v>0</x:v>
      </x:c>
      <x:c r="E51" s="37" t="n">
        <x:v>0</x:v>
      </x:c>
      <x:c r="F51" s="37" t="n">
        <x:v>50</x:v>
      </x:c>
    </x:row>
    <x:row r="52">
      <x:c r="A52" t="str">
        <x:v>Especial</x:v>
      </x:c>
      <x:c r="B52" t="str">
        <x:v>Não</x:v>
      </x:c>
      <x:c r="C52" s="37" t="n">
        <x:v>125</x:v>
      </x:c>
      <x:c r="D52" s="37" t="n">
        <x:v>0</x:v>
      </x:c>
      <x:c r="E52" s="37" t="n">
        <x:v>0</x:v>
      </x:c>
      <x:c r="F52" s="37" t="n">
        <x:v>125</x:v>
      </x:c>
    </x:row>
    <x:row r="53">
      <x:c r="A53" t="str">
        <x:v>Joia</x:v>
      </x:c>
      <x:c r="B53" t="str">
        <x:v>Sim</x:v>
      </x:c>
      <x:c r="C53" s="37" t="n">
        <x:v>15</x:v>
      </x:c>
      <x:c r="D53" s="37" t="n">
        <x:v>0</x:v>
      </x:c>
      <x:c r="E53" s="37" t="n">
        <x:v>15.75</x:v>
      </x:c>
      <x:c r="F53" s="37" t="n">
        <x:v>0</x:v>
      </x:c>
    </x:row>
    <x:row r="54">
      <x:c r="A54" t="str">
        <x:v>Item de missão</x:v>
      </x:c>
      <x:c r="B54" t="str">
        <x:v>Não</x:v>
      </x:c>
      <x:c r="C54" s="37" t="n">
        <x:v>15</x:v>
      </x:c>
      <x:c r="D54" s="37" t="n">
        <x:v>0</x:v>
      </x:c>
      <x:c r="E54" s="37" t="n">
        <x:v>0</x:v>
      </x:c>
      <x:c r="F54" s="37" t="n">
        <x:v>15</x:v>
      </x:c>
    </x:row>
    <x:row r="55">
      <x:c r="A55" t="str">
        <x:v>Mágico</x:v>
      </x:c>
      <x:c r="B55" t="str">
        <x:v>Não</x:v>
      </x:c>
      <x:c r="C55" s="37" t="n">
        <x:v>50</x:v>
      </x:c>
      <x:c r="D55" s="37" t="n">
        <x:v>0</x:v>
      </x:c>
      <x:c r="E55" s="37" t="n">
        <x:v>0</x:v>
      </x:c>
      <x:c r="F55" s="37" t="n">
        <x:v>50</x:v>
      </x:c>
    </x:row>
    <x:row r="56">
      <x:c r="A56" t="str">
        <x:v>Mágico</x:v>
      </x:c>
      <x:c r="B56" t="str">
        <x:v>Não</x:v>
      </x:c>
      <x:c r="C56" s="37" t="n">
        <x:v>100</x:v>
      </x:c>
      <x:c r="D56" s="37" t="n">
        <x:v>0</x:v>
      </x:c>
      <x:c r="E56" s="37" t="n">
        <x:v>0</x:v>
      </x:c>
      <x:c r="F56" s="37" t="n">
        <x:v>100</x:v>
      </x:c>
    </x:row>
    <x:row r="57">
      <x:c r="A57" t="str">
        <x:v>Mágico</x:v>
      </x:c>
      <x:c r="B57" t="str">
        <x:v>Não</x:v>
      </x:c>
      <x:c r="C57" s="37" t="n">
        <x:v>100</x:v>
      </x:c>
      <x:c r="D57" s="37" t="n">
        <x:v>0</x:v>
      </x:c>
      <x:c r="E57" s="37" t="n">
        <x:v>0</x:v>
      </x:c>
      <x:c r="F57" s="37" t="n">
        <x:v>100</x:v>
      </x:c>
    </x:row>
    <x:row r="58">
      <x:c r="A58" t="str">
        <x:v>Mágico</x:v>
      </x:c>
      <x:c r="B58" t="str">
        <x:v>Não</x:v>
      </x:c>
      <x:c r="C58" s="37" t="n">
        <x:v>100</x:v>
      </x:c>
      <x:c r="D58" s="37" t="n">
        <x:v>0</x:v>
      </x:c>
      <x:c r="E58" s="37" t="n">
        <x:v>0</x:v>
      </x:c>
      <x:c r="F58" s="37" t="n">
        <x:v>100</x:v>
      </x:c>
    </x:row>
    <x:row r="59">
      <x:c r="A59" t="str">
        <x:v>Joia</x:v>
      </x:c>
      <x:c r="B59" t="str">
        <x:v>Sim</x:v>
      </x:c>
      <x:c r="C59" s="37" t="n">
        <x:v>50</x:v>
      </x:c>
      <x:c r="D59" s="37" t="n">
        <x:v>0</x:v>
      </x:c>
      <x:c r="E59" s="37" t="n">
        <x:v>52.5</x:v>
      </x:c>
      <x:c r="F59" s="37" t="n">
        <x:v>0</x:v>
      </x:c>
    </x:row>
    <x:row r="60">
      <x:c r="A60" t="str">
        <x:v>Item comum</x:v>
      </x:c>
      <x:c r="B60" t="str">
        <x:v>Sim</x:v>
      </x:c>
      <x:c r="C60" s="37" t="n">
        <x:v>0.2</x:v>
      </x:c>
      <x:c r="D60" s="37" t="n">
        <x:v>0</x:v>
      </x:c>
      <x:c r="E60" s="37" t="n">
        <x:v>0.22999999999999998</x:v>
      </x:c>
      <x:c r="F60" s="37" t="n">
        <x:v>0</x:v>
      </x:c>
    </x:row>
    <x:row r="61">
      <x:c r="A61" t="str">
        <x:v>Moedas</x:v>
      </x:c>
      <x:c r="B61" t="str">
        <x:v>Não</x:v>
      </x:c>
      <x:c r="C61" s="37" t="n">
        <x:v>231</x:v>
      </x:c>
      <x:c r="D61" s="37" t="n">
        <x:v>231</x:v>
      </x:c>
      <x:c r="E61" s="37" t="n">
        <x:v>0</x:v>
      </x:c>
      <x:c r="F61" s="37" t="n">
        <x:v>0</x:v>
      </x:c>
    </x:row>
    <x:row r="62">
      <x:c r="A62" t="str">
        <x:v>Item de missão</x:v>
      </x:c>
      <x:c r="B62" t="str">
        <x:v>Não</x:v>
      </x:c>
      <x:c r="C62" s="37" t="n">
        <x:v>25</x:v>
      </x:c>
      <x:c r="D62" s="37" t="n">
        <x:v>0</x:v>
      </x:c>
      <x:c r="E62" s="37" t="n">
        <x:v>0</x:v>
      </x:c>
      <x:c r="F62" s="37" t="n">
        <x:v>25</x:v>
      </x:c>
    </x:row>
    <x:row r="63">
      <x:c r="A63" t="str">
        <x:v>Item de missão</x:v>
      </x:c>
      <x:c r="B63" t="str">
        <x:v>Não</x:v>
      </x:c>
      <x:c r="C63" s="37" t="n">
        <x:v>0</x:v>
      </x:c>
      <x:c r="D63" s="37" t="n">
        <x:v>0</x:v>
      </x:c>
      <x:c r="E63" s="37" t="n">
        <x:v>0</x:v>
      </x:c>
      <x:c r="F63" s="37" t="n">
        <x:v>0</x:v>
      </x:c>
    </x:row>
    <x:row r="64">
      <x:c r="A64" t="str">
        <x:v>Joia</x:v>
      </x:c>
      <x:c r="B64" t="str">
        <x:v>Sim</x:v>
      </x:c>
      <x:c r="C64" s="37" t="n">
        <x:v>40</x:v>
      </x:c>
      <x:c r="D64" s="37" t="n">
        <x:v>0</x:v>
      </x:c>
      <x:c r="E64" s="37" t="n">
        <x:v>42</x:v>
      </x:c>
      <x:c r="F64" s="37" t="n">
        <x:v>0</x:v>
      </x:c>
    </x:row>
    <x:row r="65">
      <x:c r="A65" t="str">
        <x:v>Joia</x:v>
      </x:c>
      <x:c r="B65" t="str">
        <x:v>Sim</x:v>
      </x:c>
      <x:c r="C65" s="37" t="n">
        <x:v>50</x:v>
      </x:c>
      <x:c r="D65" s="37" t="n">
        <x:v>0</x:v>
      </x:c>
      <x:c r="E65" s="37" t="n">
        <x:v>52.5</x:v>
      </x:c>
      <x:c r="F65" s="37" t="n">
        <x:v>0</x:v>
      </x:c>
    </x:row>
    <x:row r="66">
      <x:c r="A66" t="str">
        <x:v>Joia</x:v>
      </x:c>
      <x:c r="B66" t="str">
        <x:v>Sim</x:v>
      </x:c>
      <x:c r="C66" s="37" t="n">
        <x:v>60</x:v>
      </x:c>
      <x:c r="D66" s="37" t="n">
        <x:v>0</x:v>
      </x:c>
      <x:c r="E66" s="37" t="n">
        <x:v>63</x:v>
      </x:c>
      <x:c r="F66" s="37" t="n">
        <x:v>0</x:v>
      </x:c>
    </x:row>
    <x:row r="67">
      <x:c r="A67" t="str">
        <x:v>Mágico</x:v>
      </x:c>
      <x:c r="B67" t="str">
        <x:v>Não</x:v>
      </x:c>
      <x:c r="C67" s="37" t="n">
        <x:v>50</x:v>
      </x:c>
      <x:c r="D67" s="37" t="n">
        <x:v>0</x:v>
      </x:c>
      <x:c r="E67" s="37" t="n">
        <x:v>0</x:v>
      </x:c>
      <x:c r="F67" s="37" t="n">
        <x:v>50</x:v>
      </x:c>
    </x:row>
    <x:row r="68">
      <x:c r="A68" t="str">
        <x:v>Mágico</x:v>
      </x:c>
      <x:c r="B68" t="str">
        <x:v>Não</x:v>
      </x:c>
      <x:c r="C68" s="37" t="n">
        <x:v>50</x:v>
      </x:c>
      <x:c r="D68" s="37" t="n">
        <x:v>0</x:v>
      </x:c>
      <x:c r="E68" s="37" t="n">
        <x:v>0</x:v>
      </x:c>
      <x:c r="F68" s="37" t="n">
        <x:v>50</x:v>
      </x:c>
    </x:row>
    <x:row r="69">
      <x:c r="A69" t="str">
        <x:v>Mágico</x:v>
      </x:c>
      <x:c r="B69" t="str">
        <x:v>Não</x:v>
      </x:c>
      <x:c r="C69" s="37" t="n">
        <x:v>50</x:v>
      </x:c>
      <x:c r="D69" s="37" t="n">
        <x:v>0</x:v>
      </x:c>
      <x:c r="E69" s="37" t="n">
        <x:v>0</x:v>
      </x:c>
      <x:c r="F69" s="37" t="n">
        <x:v>50</x:v>
      </x:c>
    </x:row>
    <x:row r="70">
      <x:c r="A70" t="str">
        <x:v>Item comum</x:v>
      </x:c>
      <x:c r="B70" t="str">
        <x:v>Sim</x:v>
      </x:c>
      <x:c r="C70" s="37" t="n">
        <x:v>5</x:v>
      </x:c>
      <x:c r="D70" s="37" t="n">
        <x:v>0</x:v>
      </x:c>
      <x:c r="E70" s="37" t="n">
        <x:v>5.75</x:v>
      </x:c>
      <x:c r="F70" s="37" t="n">
        <x:v>0</x:v>
      </x:c>
    </x:row>
    <x:row r="71">
      <x:c r="A71" t="str">
        <x:v>Arte</x:v>
      </x:c>
      <x:c r="B71" t="str">
        <x:v>Sim</x:v>
      </x:c>
      <x:c r="C71" s="37" t="n">
        <x:v>30</x:v>
      </x:c>
      <x:c r="D71" s="37" t="n">
        <x:v>0</x:v>
      </x:c>
      <x:c r="E71" s="37" t="n">
        <x:v>34.5</x:v>
      </x:c>
      <x:c r="F71" s="37" t="n">
        <x:v>0</x:v>
      </x:c>
    </x:row>
    <x:row r="72">
      <x:c r="A72" t="str">
        <x:v>Equipamento</x:v>
      </x:c>
      <x:c r="B72" t="str">
        <x:v>Não</x:v>
      </x:c>
      <x:c r="C72" s="37" t="n">
        <x:v>45</x:v>
      </x:c>
      <x:c r="D72" s="37" t="n">
        <x:v>0</x:v>
      </x:c>
      <x:c r="E72" s="37" t="n">
        <x:v>0</x:v>
      </x:c>
      <x:c r="F72" s="37" t="n">
        <x:v>45</x:v>
      </x:c>
    </x:row>
    <x:row r="73">
      <x:c r="A73" t="str">
        <x:v>Moedas</x:v>
      </x:c>
      <x:c r="B73" t="str">
        <x:v>Não</x:v>
      </x:c>
      <x:c r="C73" s="37" t="n">
        <x:v>54</x:v>
      </x:c>
      <x:c r="D73" s="37" t="n">
        <x:v>54</x:v>
      </x:c>
      <x:c r="E73" s="37" t="n">
        <x:v>0</x:v>
      </x:c>
      <x:c r="F73" s="37" t="n">
        <x:v>0</x:v>
      </x:c>
    </x:row>
    <x:row r="74">
      <x:c r="A74" t="str">
        <x:v>Moedas</x:v>
      </x:c>
      <x:c r="B74" t="str">
        <x:v>Não</x:v>
      </x:c>
      <x:c r="C74" s="37" t="n">
        <x:v>24.1</x:v>
      </x:c>
      <x:c r="D74" s="37" t="n">
        <x:v>24.1</x:v>
      </x:c>
      <x:c r="E74" s="37" t="n">
        <x:v>0</x:v>
      </x:c>
      <x:c r="F74" s="37" t="n">
        <x:v>0</x:v>
      </x:c>
    </x:row>
    <x:row r="75">
      <x:c r="A75" t="str">
        <x:v>Item comum</x:v>
      </x:c>
      <x:c r="B75" t="str">
        <x:v>Sim</x:v>
      </x:c>
      <x:c r="C75" s="37" t="n">
        <x:v>15</x:v>
      </x:c>
      <x:c r="D75" s="37" t="n">
        <x:v>0</x:v>
      </x:c>
      <x:c r="E75" s="37" t="n">
        <x:v>17.25</x:v>
      </x:c>
      <x:c r="F75" s="37" t="n">
        <x:v>0</x:v>
      </x:c>
    </x:row>
    <x:row r="76">
      <x:c r="A76" t="str">
        <x:v>Item comum</x:v>
      </x:c>
      <x:c r="B76" t="str">
        <x:v>Sim</x:v>
      </x:c>
      <x:c r="C76" s="37" t="n">
        <x:v>2</x:v>
      </x:c>
      <x:c r="D76" s="37" t="n">
        <x:v>0</x:v>
      </x:c>
      <x:c r="E76" s="37" t="n">
        <x:v>2.3</x:v>
      </x:c>
      <x:c r="F76" s="37" t="n">
        <x:v>0</x:v>
      </x:c>
    </x:row>
    <x:row r="77">
      <x:c r="A77" t="str">
        <x:v>Item comum</x:v>
      </x:c>
      <x:c r="B77" t="str">
        <x:v>Sim</x:v>
      </x:c>
      <x:c r="C77" s="37" t="n">
        <x:v>3</x:v>
      </x:c>
      <x:c r="D77" s="37" t="n">
        <x:v>0</x:v>
      </x:c>
      <x:c r="E77" s="37" t="n">
        <x:v>3.4499999999999997</x:v>
      </x:c>
      <x:c r="F77" s="37" t="n">
        <x:v>0</x:v>
      </x:c>
    </x:row>
    <x:row r="78">
      <x:c r="A78" t="str">
        <x:v>Item comum</x:v>
      </x:c>
      <x:c r="B78" t="str">
        <x:v>Sim</x:v>
      </x:c>
      <x:c r="C78" s="37" t="n">
        <x:v>15</x:v>
      </x:c>
      <x:c r="D78" s="37" t="n">
        <x:v>0</x:v>
      </x:c>
      <x:c r="E78" s="37" t="n">
        <x:v>17.25</x:v>
      </x:c>
      <x:c r="F78" s="37" t="n">
        <x:v>0</x:v>
      </x:c>
    </x:row>
    <x:row r="79">
      <x:c r="A79" t="str">
        <x:v>Item comum</x:v>
      </x:c>
      <x:c r="B79" t="str">
        <x:v>Sim</x:v>
      </x:c>
      <x:c r="C79" s="37" t="n">
        <x:v>50</x:v>
      </x:c>
      <x:c r="D79" s="37" t="n">
        <x:v>0</x:v>
      </x:c>
      <x:c r="E79" s="37" t="n">
        <x:v>57.49999999999999</x:v>
      </x:c>
      <x:c r="F79" s="37" t="n">
        <x:v>0</x:v>
      </x:c>
    </x:row>
    <x:row r="80">
      <x:c r="A80" t="str">
        <x:v>Equipamento</x:v>
      </x:c>
      <x:c r="B80" t="str">
        <x:v>Não</x:v>
      </x:c>
      <x:c r="C80" s="37" t="n">
        <x:v>2</x:v>
      </x:c>
      <x:c r="D80" s="37" t="n">
        <x:v>0</x:v>
      </x:c>
      <x:c r="E80" s="37" t="n">
        <x:v>0</x:v>
      </x:c>
      <x:c r="F80" s="37" t="n">
        <x:v>2</x:v>
      </x:c>
    </x:row>
    <x:row r="81">
      <x:c r="A81" t="str">
        <x:v>Especial</x:v>
      </x:c>
      <x:c r="B81" t="str">
        <x:v>Não</x:v>
      </x:c>
      <x:c r="C81" s="37" t="n">
        <x:v>5</x:v>
      </x:c>
      <x:c r="D81" s="37" t="n">
        <x:v>0</x:v>
      </x:c>
      <x:c r="E81" s="37" t="n">
        <x:v>0</x:v>
      </x:c>
      <x:c r="F81" s="37" t="n">
        <x:v>5</x:v>
      </x:c>
    </x:row>
    <x:row r="82">
      <x:c r="A82" t="str">
        <x:v>Item comum</x:v>
      </x:c>
      <x:c r="B82" t="str">
        <x:v>Sim</x:v>
      </x:c>
      <x:c r="C82" s="37" t="n">
        <x:v>20</x:v>
      </x:c>
      <x:c r="D82" s="37" t="n">
        <x:v>0</x:v>
      </x:c>
      <x:c r="E82" s="37" t="n">
        <x:v>23</x:v>
      </x:c>
      <x:c r="F82" s="37" t="n">
        <x:v>0</x:v>
      </x:c>
    </x:row>
    <x:row r="83">
      <x:c r="A83" t="str">
        <x:v>Moedas</x:v>
      </x:c>
      <x:c r="B83" t="str">
        <x:v>Não</x:v>
      </x:c>
      <x:c r="C83" s="37" t="n">
        <x:v>34</x:v>
      </x:c>
      <x:c r="D83" s="37" t="n">
        <x:v>34</x:v>
      </x:c>
      <x:c r="E83" s="37" t="n">
        <x:v>0</x:v>
      </x:c>
      <x:c r="F83" s="37" t="n">
        <x:v>0</x:v>
      </x:c>
    </x:row>
    <x:row r="84">
      <x:c r="A84" t="str">
        <x:v>Consumível</x:v>
      </x:c>
      <x:c r="B84" t="str">
        <x:v>Não</x:v>
      </x:c>
      <x:c r="C84" s="37" t="n">
        <x:v>100</x:v>
      </x:c>
      <x:c r="D84" s="37" t="n">
        <x:v>0</x:v>
      </x:c>
      <x:c r="E84" s="37" t="n">
        <x:v>0</x:v>
      </x:c>
      <x:c r="F84" s="37" t="n">
        <x:v>100</x:v>
      </x:c>
    </x:row>
    <x:row r="85">
      <x:c r="A85" t="str">
        <x:v>Mágico</x:v>
      </x:c>
      <x:c r="B85" t="str">
        <x:v>Não</x:v>
      </x:c>
      <x:c r="C85" s="37" t="n">
        <x:v>100</x:v>
      </x:c>
      <x:c r="D85" s="37" t="n">
        <x:v>0</x:v>
      </x:c>
      <x:c r="E85" s="37" t="n">
        <x:v>0</x:v>
      </x:c>
      <x:c r="F85" s="37" t="n">
        <x:v>100</x:v>
      </x:c>
    </x:row>
    <x:row r="86">
      <x:c r="A86" t="str">
        <x:v>Mágico</x:v>
      </x:c>
      <x:c r="B86" t="str">
        <x:v>Não</x:v>
      </x:c>
      <x:c r="C86" s="37" t="n">
        <x:v>100</x:v>
      </x:c>
      <x:c r="D86" s="37" t="n">
        <x:v>0</x:v>
      </x:c>
      <x:c r="E86" s="37" t="n">
        <x:v>0</x:v>
      </x:c>
      <x:c r="F86" s="37" t="n">
        <x:v>100</x:v>
      </x:c>
    </x:row>
    <x:row r="87">
      <x:c r="A87" t="str">
        <x:v>Arte</x:v>
      </x:c>
      <x:c r="B87" t="str">
        <x:v>Sim</x:v>
      </x:c>
      <x:c r="C87" s="37" t="n">
        <x:v>150</x:v>
      </x:c>
      <x:c r="D87" s="37" t="n">
        <x:v>0</x:v>
      </x:c>
      <x:c r="E87" s="37" t="n">
        <x:v>172.5</x:v>
      </x:c>
      <x:c r="F87" s="37" t="n">
        <x:v>0</x:v>
      </x:c>
    </x:row>
    <x:row r="88">
      <x:c r="A88" t="str">
        <x:v>Moedas</x:v>
      </x:c>
      <x:c r="B88" t="str">
        <x:v>Não</x:v>
      </x:c>
      <x:c r="C88" s="37" t="n">
        <x:v>365</x:v>
      </x:c>
      <x:c r="D88" s="37" t="n">
        <x:v>365</x:v>
      </x:c>
      <x:c r="E88" s="37" t="n">
        <x:v>0</x:v>
      </x:c>
      <x:c r="F88" s="37" t="n">
        <x:v>0</x:v>
      </x:c>
    </x:row>
    <x:row r="89">
      <x:c r="A89" t="str">
        <x:v>Arte</x:v>
      </x:c>
      <x:c r="B89" t="str">
        <x:v>Sim</x:v>
      </x:c>
      <x:c r="C89" s="37" t="n">
        <x:v>150</x:v>
      </x:c>
      <x:c r="D89" s="37" t="n">
        <x:v>0</x:v>
      </x:c>
      <x:c r="E89" s="37" t="n">
        <x:v>172.5</x:v>
      </x:c>
      <x:c r="F89" s="37" t="n">
        <x:v>0</x:v>
      </x:c>
    </x:row>
    <x:row r="90">
      <x:c r="A90" t="str">
        <x:v>Destruído</x:v>
      </x:c>
      <x:c r="B90" t="str">
        <x:v>Não</x:v>
      </x:c>
      <x:c r="C90" s="37" t="n">
        <x:v>0</x:v>
      </x:c>
      <x:c r="D90" s="37" t="n">
        <x:v>0</x:v>
      </x:c>
      <x:c r="E90" s="37" t="n">
        <x:v>0</x:v>
      </x:c>
      <x:c r="F90" s="37" t="n">
        <x:v>0</x:v>
      </x:c>
    </x:row>
    <x:row r="91">
      <x:c r="A91" t="str">
        <x:v>Moedas</x:v>
      </x:c>
      <x:c r="B91" t="str">
        <x:v>Não</x:v>
      </x:c>
      <x:c r="C91" s="37" t="n">
        <x:v>110</x:v>
      </x:c>
      <x:c r="D91" s="37" t="n">
        <x:v>110</x:v>
      </x:c>
      <x:c r="E91" s="37" t="n">
        <x:v>0</x:v>
      </x:c>
      <x:c r="F91" s="37" t="n">
        <x:v>0</x:v>
      </x:c>
    </x:row>
    <x:row r="92">
      <x:c r="A92" t="str">
        <x:v>Mágico</x:v>
      </x:c>
      <x:c r="B92" t="str">
        <x:v>Não</x:v>
      </x:c>
      <x:c r="C92" s="37" t="n">
        <x:v>500</x:v>
      </x:c>
      <x:c r="D92" s="37" t="n">
        <x:v>0</x:v>
      </x:c>
      <x:c r="E92" s="37" t="n">
        <x:v>0</x:v>
      </x:c>
      <x:c r="F92" s="37" t="n">
        <x:v>500</x:v>
      </x:c>
    </x:row>
    <x:row r="93">
      <x:c r="A93" t="str">
        <x:v>Item de missão</x:v>
      </x:c>
      <x:c r="B93" t="str">
        <x:v>Não</x:v>
      </x:c>
      <x:c r="C93" s="37" t="n">
        <x:v>0</x:v>
      </x:c>
      <x:c r="D93" s="37" t="n">
        <x:v>0</x:v>
      </x:c>
      <x:c r="E93" s="37" t="n">
        <x:v>0</x:v>
      </x:c>
      <x:c r="F93" s="37" t="n">
        <x:v>0</x:v>
      </x:c>
    </x:row>
    <x:row r="94">
      <x:c r="A94" t="str">
        <x:v>Item de missão</x:v>
      </x:c>
      <x:c r="B94" t="str">
        <x:v>Não</x:v>
      </x:c>
      <x:c r="C94" s="37" t="n">
        <x:v>50</x:v>
      </x:c>
      <x:c r="D94" s="37" t="n">
        <x:v>0</x:v>
      </x:c>
      <x:c r="E94" s="37" t="n">
        <x:v>0</x:v>
      </x:c>
      <x:c r="F94" s="37" t="n">
        <x:v>50</x:v>
      </x:c>
    </x:row>
    <x:row r="95">
      <x:c r="A95" t="str">
        <x:v>Joia</x:v>
      </x:c>
      <x:c r="B95" t="str">
        <x:v>Não</x:v>
      </x:c>
      <x:c r="C95" s="37" t="n">
        <x:v>300</x:v>
      </x:c>
      <x:c r="D95" s="37" t="n">
        <x:v>0</x:v>
      </x:c>
      <x:c r="E95" s="37" t="n">
        <x:v>0</x:v>
      </x:c>
      <x:c r="F95" s="37" t="n">
        <x:v>300</x:v>
      </x:c>
    </x:row>
    <x:row r="96">
      <x:c r="A96" t="str">
        <x:v>Item de missão</x:v>
      </x:c>
      <x:c r="B96" t="str">
        <x:v>Não</x:v>
      </x:c>
      <x:c r="C96" s="37" t="n">
        <x:v>1000</x:v>
      </x:c>
      <x:c r="D96" s="37" t="n">
        <x:v>0</x:v>
      </x:c>
      <x:c r="E96" s="37" t="n">
        <x:v>0</x:v>
      </x:c>
      <x:c r="F96" s="37" t="n">
        <x:v>1000</x:v>
      </x:c>
    </x:row>
    <x:row r="97">
      <x:c r="A97" t="str">
        <x:v>Mágico</x:v>
      </x:c>
      <x:c r="B97" t="str">
        <x:v>Não</x:v>
      </x:c>
      <x:c r="C97" s="37" t="n">
        <x:v>150</x:v>
      </x:c>
      <x:c r="D97" s="37" t="n">
        <x:v>0</x:v>
      </x:c>
      <x:c r="E97" s="37" t="n">
        <x:v>0</x:v>
      </x:c>
      <x:c r="F97" s="37" t="n">
        <x:v>150</x:v>
      </x:c>
    </x:row>
    <x:row r="98">
      <x:c r="A98" t="str">
        <x:v>Consumível</x:v>
      </x:c>
      <x:c r="B98" t="str">
        <x:v>Não</x:v>
      </x:c>
      <x:c r="C98" s="37" t="n">
        <x:v>100</x:v>
      </x:c>
      <x:c r="D98" s="37" t="n">
        <x:v>0</x:v>
      </x:c>
      <x:c r="E98" s="37" t="n">
        <x:v>0</x:v>
      </x:c>
      <x:c r="F98" s="37" t="n">
        <x:v>100</x:v>
      </x:c>
    </x:row>
    <x:row r="99">
      <x:c r="A99" t="str">
        <x:v>Usado</x:v>
      </x:c>
      <x:c r="B99" t="str">
        <x:v>Não</x:v>
      </x:c>
      <x:c r="C99" s="37" t="n">
        <x:v>80</x:v>
      </x:c>
      <x:c r="D99" s="37" t="n">
        <x:v>0</x:v>
      </x:c>
      <x:c r="E99" s="37" t="n">
        <x:v>0</x:v>
      </x:c>
      <x:c r="F99" s="37" t="n">
        <x:v>0</x:v>
      </x:c>
    </x:row>
    <x:row r="100">
      <x:c r="A100" t="str">
        <x:v>Usado</x:v>
      </x:c>
      <x:c r="B100" t="str">
        <x:v>Não</x:v>
      </x:c>
      <x:c r="C100" s="37" t="n">
        <x:v>100</x:v>
      </x:c>
      <x:c r="D100" s="37" t="n">
        <x:v>0</x:v>
      </x:c>
      <x:c r="E100" s="37" t="n">
        <x:v>0</x:v>
      </x:c>
      <x:c r="F100" s="37" t="n">
        <x:v>0</x:v>
      </x:c>
    </x:row>
    <x:row r="101">
      <x:c r="A101" t="str">
        <x:v>Usado</x:v>
      </x:c>
      <x:c r="B101" t="str">
        <x:v>Não</x:v>
      </x:c>
      <x:c r="C101" s="37" t="n">
        <x:v>10</x:v>
      </x:c>
      <x:c r="D101" s="37" t="n">
        <x:v>0</x:v>
      </x:c>
      <x:c r="E101" s="37" t="n">
        <x:v>0</x:v>
      </x:c>
      <x:c r="F101" s="37" t="n">
        <x:v>0</x:v>
      </x:c>
    </x:row>
    <x:row r="102">
      <x:c r="A102" t="str">
        <x:v>Usado</x:v>
      </x:c>
      <x:c r="B102" t="str">
        <x:v>Não</x:v>
      </x:c>
      <x:c r="C102" s="37" t="n">
        <x:v>10</x:v>
      </x:c>
      <x:c r="D102" s="37" t="n">
        <x:v>0</x:v>
      </x:c>
      <x:c r="E102" s="37" t="n">
        <x:v>0</x:v>
      </x:c>
      <x:c r="F102" s="37" t="n">
        <x:v>0</x:v>
      </x:c>
    </x:row>
    <x:row r="103">
      <x:c r="A103" t="str">
        <x:v>Joia</x:v>
      </x:c>
      <x:c r="B103" t="str">
        <x:v>Sim</x:v>
      </x:c>
      <x:c r="C103" s="37" t="n">
        <x:v>100</x:v>
      </x:c>
      <x:c r="D103" s="37" t="n">
        <x:v>0</x:v>
      </x:c>
      <x:c r="E103" s="37" t="n">
        <x:v>105</x:v>
      </x:c>
      <x:c r="F103" s="37" t="n">
        <x:v>0</x:v>
      </x:c>
    </x:row>
    <x:row r="104">
      <x:c r="A104" t="str">
        <x:v>Recompensa</x:v>
      </x:c>
      <x:c r="B104" t="str">
        <x:v>Não</x:v>
      </x:c>
      <x:c r="C104" s="37" t="n">
        <x:v>1500</x:v>
      </x:c>
      <x:c r="D104" s="37" t="n">
        <x:v>1500</x:v>
      </x:c>
      <x:c r="E104" s="37" t="n">
        <x:v>0</x:v>
      </x:c>
      <x:c r="F104" s="37" t="n">
        <x:v>0</x:v>
      </x:c>
    </x:row>
  </x:sheetData>
  <x:pageMargins left="0.7" right="0.7" top="0.75" bottom="0.75" header="0.3" footer="0.3"/>
</x:worksheet>
</file>