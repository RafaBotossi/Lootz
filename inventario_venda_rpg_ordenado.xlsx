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fael Botossi\Projetos\PC\Lootz\"/>
    </mc:Choice>
  </mc:AlternateContent>
  <xr:revisionPtr revIDLastSave="0" documentId="8_{E4EE4367-DD88-4706-B3C4-C7F597D7E5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entário" sheetId="1" r:id="rId1"/>
    <sheet name="Resumo" sheetId="2" r:id="rId2"/>
    <sheet name="Parâmetros" sheetId="3" r:id="rId3"/>
    <sheet name="Parametros" sheetId="4" r:id="rId4"/>
    <sheet name="Calculo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5" i="2"/>
  <c r="B4" i="2"/>
  <c r="B6" i="2" s="1"/>
  <c r="B7" i="2" s="1"/>
  <c r="K98" i="1"/>
  <c r="J98" i="1"/>
  <c r="I98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J92" i="1"/>
  <c r="I92" i="1"/>
  <c r="K92" i="1" s="1"/>
  <c r="J91" i="1"/>
  <c r="I91" i="1"/>
  <c r="K91" i="1" s="1"/>
  <c r="K90" i="1"/>
  <c r="J90" i="1"/>
  <c r="I90" i="1"/>
  <c r="K89" i="1"/>
  <c r="J89" i="1"/>
  <c r="I89" i="1"/>
  <c r="J88" i="1"/>
  <c r="I88" i="1"/>
  <c r="K87" i="1"/>
  <c r="J87" i="1"/>
  <c r="I87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J81" i="1"/>
  <c r="I81" i="1"/>
  <c r="K80" i="1"/>
  <c r="J80" i="1"/>
  <c r="I80" i="1"/>
  <c r="K79" i="1"/>
  <c r="J79" i="1"/>
  <c r="I79" i="1"/>
  <c r="J78" i="1"/>
  <c r="I78" i="1"/>
  <c r="J77" i="1"/>
  <c r="I77" i="1"/>
  <c r="J76" i="1"/>
  <c r="I76" i="1"/>
  <c r="J75" i="1"/>
  <c r="I75" i="1"/>
  <c r="J74" i="1"/>
  <c r="I74" i="1"/>
  <c r="K73" i="1"/>
  <c r="J73" i="1"/>
  <c r="I73" i="1"/>
  <c r="K72" i="1"/>
  <c r="J72" i="1"/>
  <c r="I72" i="1"/>
  <c r="J71" i="1"/>
  <c r="I71" i="1"/>
  <c r="K71" i="1" s="1"/>
  <c r="J70" i="1"/>
  <c r="I70" i="1"/>
  <c r="J69" i="1"/>
  <c r="I69" i="1"/>
  <c r="K68" i="1"/>
  <c r="J68" i="1"/>
  <c r="I68" i="1"/>
  <c r="K67" i="1"/>
  <c r="J67" i="1"/>
  <c r="I67" i="1"/>
  <c r="K66" i="1"/>
  <c r="J66" i="1"/>
  <c r="I66" i="1"/>
  <c r="J65" i="1"/>
  <c r="I65" i="1"/>
  <c r="J64" i="1"/>
  <c r="I64" i="1"/>
  <c r="J63" i="1"/>
  <c r="I63" i="1"/>
  <c r="J62" i="1"/>
  <c r="I62" i="1"/>
  <c r="K61" i="1"/>
  <c r="J61" i="1"/>
  <c r="I61" i="1"/>
  <c r="K60" i="1"/>
  <c r="J60" i="1"/>
  <c r="I60" i="1"/>
  <c r="J59" i="1"/>
  <c r="I59" i="1"/>
  <c r="K59" i="1" s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J53" i="1"/>
  <c r="I53" i="1"/>
  <c r="K53" i="1" s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J42" i="1"/>
  <c r="I42" i="1"/>
  <c r="K41" i="1"/>
  <c r="J41" i="1"/>
  <c r="I41" i="1"/>
  <c r="J40" i="1"/>
  <c r="I40" i="1"/>
  <c r="K40" i="1" s="1"/>
  <c r="J39" i="1"/>
  <c r="I39" i="1"/>
  <c r="K39" i="1" s="1"/>
  <c r="J38" i="1"/>
  <c r="I38" i="1"/>
  <c r="J37" i="1"/>
  <c r="I37" i="1"/>
  <c r="K37" i="1" s="1"/>
  <c r="J36" i="1"/>
  <c r="I36" i="1"/>
  <c r="J35" i="1"/>
  <c r="I35" i="1"/>
  <c r="K34" i="1"/>
  <c r="J34" i="1"/>
  <c r="I34" i="1"/>
  <c r="J33" i="1"/>
  <c r="I33" i="1"/>
  <c r="K33" i="1" s="1"/>
  <c r="J32" i="1"/>
  <c r="I32" i="1"/>
  <c r="J31" i="1"/>
  <c r="I31" i="1"/>
  <c r="J30" i="1"/>
  <c r="I30" i="1"/>
  <c r="J29" i="1"/>
  <c r="I29" i="1"/>
  <c r="J28" i="1"/>
  <c r="I28" i="1"/>
  <c r="J27" i="1"/>
  <c r="I27" i="1"/>
  <c r="K26" i="1"/>
  <c r="J26" i="1"/>
  <c r="I26" i="1"/>
  <c r="J25" i="1"/>
  <c r="I25" i="1"/>
  <c r="K25" i="1" s="1"/>
  <c r="K24" i="1"/>
  <c r="J24" i="1"/>
  <c r="I24" i="1"/>
  <c r="J23" i="1"/>
  <c r="I23" i="1"/>
  <c r="J22" i="1"/>
  <c r="I22" i="1"/>
  <c r="J21" i="1"/>
  <c r="I21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J15" i="1"/>
  <c r="I15" i="1"/>
  <c r="J14" i="1"/>
  <c r="I14" i="1"/>
  <c r="K13" i="1"/>
  <c r="J13" i="1"/>
  <c r="I13" i="1"/>
  <c r="K12" i="1"/>
  <c r="J12" i="1"/>
  <c r="I12" i="1"/>
  <c r="K11" i="1"/>
  <c r="J11" i="1"/>
  <c r="I11" i="1"/>
  <c r="J10" i="1"/>
  <c r="I10" i="1"/>
  <c r="J9" i="1"/>
  <c r="I9" i="1"/>
  <c r="K9" i="1" s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J3" i="1"/>
  <c r="I3" i="1"/>
  <c r="J2" i="1"/>
  <c r="I2" i="1"/>
  <c r="K77" i="1" l="1"/>
  <c r="K97" i="1"/>
  <c r="K42" i="1"/>
  <c r="K22" i="1"/>
  <c r="K35" i="1"/>
  <c r="K23" i="1"/>
  <c r="K30" i="1"/>
  <c r="K62" i="1"/>
  <c r="K31" i="1"/>
  <c r="K76" i="1"/>
  <c r="K75" i="1"/>
  <c r="K88" i="1"/>
  <c r="K52" i="1"/>
  <c r="K64" i="1"/>
  <c r="K70" i="1"/>
  <c r="K78" i="1"/>
  <c r="K29" i="1"/>
  <c r="K3" i="1"/>
  <c r="K86" i="1"/>
  <c r="K38" i="1"/>
  <c r="K74" i="1"/>
  <c r="K81" i="1"/>
  <c r="K65" i="1"/>
  <c r="K10" i="1"/>
  <c r="K36" i="1"/>
  <c r="K69" i="1"/>
  <c r="K32" i="1"/>
  <c r="K2" i="1"/>
  <c r="K14" i="1"/>
  <c r="K20" i="1"/>
  <c r="K27" i="1"/>
  <c r="K63" i="1"/>
  <c r="K15" i="1"/>
  <c r="K21" i="1"/>
  <c r="K28" i="1"/>
  <c r="K58" i="1"/>
  <c r="B13" i="2"/>
  <c r="B12" i="2"/>
  <c r="B11" i="2"/>
</calcChain>
</file>

<file path=xl/sharedStrings.xml><?xml version="1.0" encoding="utf-8"?>
<sst xmlns="http://schemas.openxmlformats.org/spreadsheetml/2006/main" count="777" uniqueCount="226">
  <si>
    <t>Origem</t>
  </si>
  <si>
    <t>Item</t>
  </si>
  <si>
    <t>Qtd.</t>
  </si>
  <si>
    <t>Valor real (gp)</t>
  </si>
  <si>
    <t>Valor estimado (gp)</t>
  </si>
  <si>
    <t>Como foi estimado</t>
  </si>
  <si>
    <t>Categoria</t>
  </si>
  <si>
    <t>Vender?</t>
  </si>
  <si>
    <t>Valor base (gp)</t>
  </si>
  <si>
    <t>Bônus aplicado</t>
  </si>
  <si>
    <t>Venda líquida (gp)</t>
  </si>
  <si>
    <t>Observação</t>
  </si>
  <si>
    <t>Goblin — primeira sala</t>
  </si>
  <si>
    <t>Cimitarra</t>
  </si>
  <si>
    <t>Preço de lista D&amp;D 5e</t>
  </si>
  <si>
    <t>Item comum</t>
  </si>
  <si>
    <t>Sim</t>
  </si>
  <si>
    <t>Escudo</t>
  </si>
  <si>
    <t>Humanos — sala escondida 2</t>
  </si>
  <si>
    <t>Moedas: 43 pp</t>
  </si>
  <si>
    <t>43 pp × 0,1 gp</t>
  </si>
  <si>
    <t>Moedas</t>
  </si>
  <si>
    <t>Não</t>
  </si>
  <si>
    <t>Moedas: 9 gp</t>
  </si>
  <si>
    <t>Valor anotado</t>
  </si>
  <si>
    <t>3 Dardos elementais de uso único</t>
  </si>
  <si>
    <t>Estimativa conservadora: 50 gp cada por efeito mágico de uso único</t>
  </si>
  <si>
    <t>Mágico</t>
  </si>
  <si>
    <t>Manter com o grupo / confirmar antes de vender.</t>
  </si>
  <si>
    <t>Dragão</t>
  </si>
  <si>
    <t>Escama de wyrmling gelada</t>
  </si>
  <si>
    <t>Componente/curiosidade; estimativa conservadora</t>
  </si>
  <si>
    <t>Especial</t>
  </si>
  <si>
    <t>Kobolds</t>
  </si>
  <si>
    <t>Concha gigante</t>
  </si>
  <si>
    <t>Curiosidade decorativa; estimativa</t>
  </si>
  <si>
    <t>Material para criar crossbow</t>
  </si>
  <si>
    <t>Metade do preço de uma light crossbow (25 gp)</t>
  </si>
  <si>
    <t>Ferro útil (4 kg / 8 lb)</t>
  </si>
  <si>
    <t>Ferro bruto estimado: 0,1 gp/lb</t>
  </si>
  <si>
    <t>Esqueletos</t>
  </si>
  <si>
    <t>Apito Nightcaller</t>
  </si>
  <si>
    <t>Item mágico raro; valor de referência muito incerto</t>
  </si>
  <si>
    <t>Poção de resistência a fogo</t>
  </si>
  <si>
    <t>Poção mágica incomum; estimativa</t>
  </si>
  <si>
    <t>Poção de sopro de fogo</t>
  </si>
  <si>
    <t>Vela</t>
  </si>
  <si>
    <t>9 pequenas estátuas de dragão em jade</t>
  </si>
  <si>
    <t>Estimativa: 10 gp cada; confirmar avaliação</t>
  </si>
  <si>
    <t>Joia</t>
  </si>
  <si>
    <t>Ratão</t>
  </si>
  <si>
    <t>Moedas: 312 pp</t>
  </si>
  <si>
    <t>312 pp × 0,1 gp</t>
  </si>
  <si>
    <t>Moedas: 68 gp</t>
  </si>
  <si>
    <t>Pepita de ouro</t>
  </si>
  <si>
    <t>Anel dourado de Karakas</t>
  </si>
  <si>
    <t>Joia simples; mas pertence ao ranger Karakas</t>
  </si>
  <si>
    <t>Item de missão</t>
  </si>
  <si>
    <t>2 Adagas</t>
  </si>
  <si>
    <t>2 × 2 gp (preço de lista)</t>
  </si>
  <si>
    <t>Arco longo</t>
  </si>
  <si>
    <t>Aljava</t>
  </si>
  <si>
    <t>3 gemas</t>
  </si>
  <si>
    <t>3 × 25 gp anotados</t>
  </si>
  <si>
    <t>Waterskin, comida, bedroll, fósforos e 3 tochas</t>
  </si>
  <si>
    <t>Estimativa por equipamento básico; confirmar conteúdo</t>
  </si>
  <si>
    <t>Concha pequena</t>
  </si>
  <si>
    <t>Goblins mortos / goblin cativo</t>
  </si>
  <si>
    <t>Moedas: 50 gp</t>
  </si>
  <si>
    <t>Arco curto</t>
  </si>
  <si>
    <t>Chave</t>
  </si>
  <si>
    <t>Chave de dungeon; sem venda até confirmar uso</t>
  </si>
  <si>
    <t>Frasco prateado de Durgeddin com vinho goblin</t>
  </si>
  <si>
    <t>Arte</t>
  </si>
  <si>
    <t>9 arcos curtos</t>
  </si>
  <si>
    <t>9 × 25 gp (preço de lista)</t>
  </si>
  <si>
    <t>2 cimitarras</t>
  </si>
  <si>
    <t>2 × 25 gp (preço de lista)</t>
  </si>
  <si>
    <t>Sala ao lado dos goblins mortos</t>
  </si>
  <si>
    <t>5 frascos de óleo</t>
  </si>
  <si>
    <t>5 × 0,1 gp (preço de lista)</t>
  </si>
  <si>
    <t>Caracol vivo</t>
  </si>
  <si>
    <t>Animal/curiosidade; estimativa</t>
  </si>
  <si>
    <t>Goblins do topo</t>
  </si>
  <si>
    <t>3 arcos curtos</t>
  </si>
  <si>
    <t>3 × 25 gp (preço de lista)</t>
  </si>
  <si>
    <t>Concha de caracol bonita</t>
  </si>
  <si>
    <t>Caltrix</t>
  </si>
  <si>
    <t>Estátua de dragão em jade</t>
  </si>
  <si>
    <t>Cálice de cristal</t>
  </si>
  <si>
    <t>24 peças de prataria</t>
  </si>
  <si>
    <t>24 × 1 gp anotado</t>
  </si>
  <si>
    <t>Case de scroll com runas anãs e papiro</t>
  </si>
  <si>
    <t>Objeto histórico; estimativa baixa (papiro incompleto)</t>
  </si>
  <si>
    <t>Lore</t>
  </si>
  <si>
    <t>Kobold Rainha</t>
  </si>
  <si>
    <t>Chave mágica</t>
  </si>
  <si>
    <t>Valor incerto; pode abrir área relevante</t>
  </si>
  <si>
    <t>Quaal's Feather Token (Tree)</t>
  </si>
  <si>
    <t>Item mágico incomum; estimativa de referência</t>
  </si>
  <si>
    <t>Scroll: Mage Armor</t>
  </si>
  <si>
    <t>Pergaminho mágico nível 1; estimativa</t>
  </si>
  <si>
    <t>Scroll: Spider Climb</t>
  </si>
  <si>
    <t>Pergaminho mágico nível 2; estimativa</t>
  </si>
  <si>
    <t>Scroll: Knock</t>
  </si>
  <si>
    <t>Elixir of Health (3 doses)</t>
  </si>
  <si>
    <t>Estimativa: 200 gp por dose; confirmar mesa</t>
  </si>
  <si>
    <t>Kobold Rainha — baú</t>
  </si>
  <si>
    <t>Moedas: 35 gp</t>
  </si>
  <si>
    <t>Troll</t>
  </si>
  <si>
    <t>Moedas: 220 pp</t>
  </si>
  <si>
    <t>220 pp × 0,1 gp</t>
  </si>
  <si>
    <t>Adaga com runas élficas/dracônicas</t>
  </si>
  <si>
    <t>3 anéis</t>
  </si>
  <si>
    <t>Valor anotado (lote)</t>
  </si>
  <si>
    <t>Amuleto de prata de Achardalon</t>
  </si>
  <si>
    <t>Valor anotado; relevância histórica</t>
  </si>
  <si>
    <t>Scroll: Command</t>
  </si>
  <si>
    <t>Scroll: Cure Wounds nível 2</t>
  </si>
  <si>
    <t>Scroll: Inflict Wounds nível 2</t>
  </si>
  <si>
    <t>Scroll: Guiding Bolt nível 2</t>
  </si>
  <si>
    <t>Sala da caldeira</t>
  </si>
  <si>
    <t>5 safiras</t>
  </si>
  <si>
    <t>5 × 10 gp anotados</t>
  </si>
  <si>
    <t>Ferro (1 kg)</t>
  </si>
  <si>
    <t>Goblins com buraco</t>
  </si>
  <si>
    <t>Moedas: 231 gp</t>
  </si>
  <si>
    <t>Anel de Talgen</t>
  </si>
  <si>
    <t>Pertence a Talgen; não vender</t>
  </si>
  <si>
    <t>Chaves menores</t>
  </si>
  <si>
    <t>Chaves de dungeon; sem venda até confirmar uso</t>
  </si>
  <si>
    <t>Brincos de prata com moonstone</t>
  </si>
  <si>
    <t>Colar</t>
  </si>
  <si>
    <t>2 ônix</t>
  </si>
  <si>
    <t>2 × 30 gp anotados</t>
  </si>
  <si>
    <t>Scroll: Faerie Fire</t>
  </si>
  <si>
    <t>Scroll: Expeditious Retreat</t>
  </si>
  <si>
    <t>Cloak of Billowing</t>
  </si>
  <si>
    <t>Item mágico comum; estimativa</t>
  </si>
  <si>
    <t>Sala dos goblins</t>
  </si>
  <si>
    <t>Adaga estilo caracol</t>
  </si>
  <si>
    <t>Estátua de Agatha / Corellon Larethian</t>
  </si>
  <si>
    <t>Camisa de cota de malha</t>
  </si>
  <si>
    <t>Equipamento</t>
  </si>
  <si>
    <t>Gripe, Ranho e Balsag</t>
  </si>
  <si>
    <t>Moedas: 54 gp</t>
  </si>
  <si>
    <t>Moedas: 241 pp</t>
  </si>
  <si>
    <t>241 pp × 0,1 gp</t>
  </si>
  <si>
    <t>Morningstar</t>
  </si>
  <si>
    <t>2 lanças</t>
  </si>
  <si>
    <t>2 × 1 gp (preço de lista)</t>
  </si>
  <si>
    <t>6 javelins</t>
  </si>
  <si>
    <t>6 × 0,5 gp (preço de lista)</t>
  </si>
  <si>
    <t>Longsword</t>
  </si>
  <si>
    <t>Greatsword</t>
  </si>
  <si>
    <t>Sala roxa</t>
  </si>
  <si>
    <t>40 flechas</t>
  </si>
  <si>
    <t>40 × 0,05 gp (preço de lista)</t>
  </si>
  <si>
    <t>Cogumelo roxo brilhante</t>
  </si>
  <si>
    <t>Consumível/curiosidade; valor muito incerto</t>
  </si>
  <si>
    <t>Bugbear</t>
  </si>
  <si>
    <t>Glaive / foice</t>
  </si>
  <si>
    <t>Dragão vermelho (Achardalon)</t>
  </si>
  <si>
    <t>Moedas: 34 gp</t>
  </si>
  <si>
    <t>2 frascos de Alchemist's Fire</t>
  </si>
  <si>
    <t>2 × 50 gp (preço de lista)</t>
  </si>
  <si>
    <t>Consumível</t>
  </si>
  <si>
    <t>Livraria</t>
  </si>
  <si>
    <t>Scroll: Melf's Acid Arrow</t>
  </si>
  <si>
    <t>Scroll: Scorching Ray</t>
  </si>
  <si>
    <t>Livro com escamas de dragão</t>
  </si>
  <si>
    <t>Sala de interrogatório</t>
  </si>
  <si>
    <t>Moedas: 365 gp</t>
  </si>
  <si>
    <t>Livro sobre vida e morte</t>
  </si>
  <si>
    <t>Destruído</t>
  </si>
  <si>
    <t>Belak / Árvore Gulthias</t>
  </si>
  <si>
    <t>Moedas: 110 gp</t>
  </si>
  <si>
    <t>Wand of Entanglement (7 cargas)</t>
  </si>
  <si>
    <t>Diversas chaves</t>
  </si>
  <si>
    <t>Chaves do andar; sem venda até confirmar uso</t>
  </si>
  <si>
    <t>Chave ornamentada de dragão</t>
  </si>
  <si>
    <t>Possível chave importante; estimativa meramente indicativa</t>
  </si>
  <si>
    <t>Diamante para Revivify</t>
  </si>
  <si>
    <t>Custo material padrão de Revivify; confirmar valor</t>
  </si>
  <si>
    <t>Shatterspike (espada mágica de Sir Bradford)</t>
  </si>
  <si>
    <t>Arma mágica +1; pertence a Sir Bradford</t>
  </si>
  <si>
    <t>3 poções de Healing</t>
  </si>
  <si>
    <t>3 × 50 gp (estimativa)</t>
  </si>
  <si>
    <t>2 poções de Antitoxina</t>
  </si>
  <si>
    <t>2 × 50 gp (estimativa)</t>
  </si>
  <si>
    <t>Usado</t>
  </si>
  <si>
    <t>Sala do capiroto</t>
  </si>
  <si>
    <t>2 safiras</t>
  </si>
  <si>
    <t>2 × 50 gp anotados</t>
  </si>
  <si>
    <t>Carolyn Ukrele</t>
  </si>
  <si>
    <t>Recompensa Carolyn</t>
  </si>
  <si>
    <t>500 gp + 1.000 gp anotados</t>
  </si>
  <si>
    <t>Recompensa</t>
  </si>
  <si>
    <t>Resumo do caixa e divisão — Amigos do Zé Colmeia</t>
  </si>
  <si>
    <t>Componente</t>
  </si>
  <si>
    <t>Total (gp)</t>
  </si>
  <si>
    <t>Moedas e recompensas em caixa</t>
  </si>
  <si>
    <t>Receita estimada de vendas</t>
  </si>
  <si>
    <t>Total disponível para dividir</t>
  </si>
  <si>
    <t>Divisão por pessoa</t>
  </si>
  <si>
    <t>Itens mantidos (valor de referência)</t>
  </si>
  <si>
    <t>Personagem</t>
  </si>
  <si>
    <t>Parte igual (gp)</t>
  </si>
  <si>
    <t>Karstaag</t>
  </si>
  <si>
    <t>Thorbir</t>
  </si>
  <si>
    <t>Mercival</t>
  </si>
  <si>
    <t>Notas</t>
  </si>
  <si>
    <t>• Itens marcados como “Não” não entram na venda nem na divisão de caixa.</t>
  </si>
  <si>
    <t>• Moedas e recompensa entram integralmente no caixa; não recebem bônus de venda.</t>
  </si>
  <si>
    <t>• Bônus aplicados: 15% comuns, 5% joias/arte e 15% mágicos (caso a decisão seja alterada).</t>
  </si>
  <si>
    <t>• Valores “estimados” são referência de mesa e devem ser ajustados ao avaliar com comerciante/Mestre.</t>
  </si>
  <si>
    <t>Parâmetro</t>
  </si>
  <si>
    <t>Valor</t>
  </si>
  <si>
    <t>Bônus de venda — itens comuns</t>
  </si>
  <si>
    <t>Bônus de venda — gemas/arte</t>
  </si>
  <si>
    <t>Bônus de venda — itens mágicos</t>
  </si>
  <si>
    <t>Divisores (membros)</t>
  </si>
  <si>
    <t>Base</t>
  </si>
  <si>
    <t>Caixa</t>
  </si>
  <si>
    <t>Venda</t>
  </si>
  <si>
    <t>Mantido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</si>
</sst>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gp&quot;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3" fillId="3" borderId="0" xfId="0" applyFont="1" applyFill="1"/>
    <xf numFmtId="0" fontId="3" fillId="0" borderId="0" xfId="0" applyFont="1"/>
    <xf numFmtId="164" fontId="0" fillId="0" borderId="0" xfId="0" applyNumberFormat="1"/>
    <xf numFmtId="0" fontId="3" fillId="4" borderId="0" xfId="0" applyFont="1" applyFill="1"/>
    <xf numFmtId="164" fontId="3" fillId="4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Table" displayName="InventarioTable" ref="A1:L98">
  <tableColumns count="12">
    <tableColumn id="1" xr3:uid="{00000000-0010-0000-0000-000001000000}" name="Item"/>
    <tableColumn id="2" xr3:uid="{00000000-0010-0000-0000-000002000000}" name="Origem"/>
    <tableColumn id="3" xr3:uid="{00000000-0010-0000-0000-000003000000}" name="Qtd."/>
    <tableColumn id="4" xr3:uid="{00000000-0010-0000-0000-000004000000}" name="Valor real (gp)"/>
    <tableColumn id="5" xr3:uid="{00000000-0010-0000-0000-000005000000}" name="Valor estimado (gp)"/>
    <tableColumn id="6" xr3:uid="{00000000-0010-0000-0000-000006000000}" name="Como foi estimado"/>
    <tableColumn id="7" xr3:uid="{00000000-0010-0000-0000-000007000000}" name="Categoria"/>
    <tableColumn id="8" xr3:uid="{00000000-0010-0000-0000-000008000000}" name="Vender?"/>
    <tableColumn id="9" xr3:uid="{00000000-0010-0000-0000-000009000000}" name="Valor base (gp)"/>
    <tableColumn id="10" xr3:uid="{00000000-0010-0000-0000-00000A000000}" name="Bônus aplicado"/>
    <tableColumn id="11" xr3:uid="{00000000-0010-0000-0000-00000B000000}" name="Venda líquida (gp)"/>
    <tableColumn id="12" xr3:uid="{00000000-0010-0000-0000-00000C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67" workbookViewId="0">
      <selection activeCell="F100" sqref="F100"/>
    </sheetView>
  </sheetViews>
  <sheetFormatPr defaultRowHeight="14.25"/>
  <cols>
    <col min="1" max="1" width="28" customWidth="1"/>
    <col min="2" max="2" width="32" customWidth="1"/>
    <col min="3" max="3" width="7" customWidth="1"/>
    <col min="4" max="4" width="14" customWidth="1"/>
    <col min="5" max="5" width="17" customWidth="1"/>
    <col min="6" max="6" width="46" customWidth="1"/>
    <col min="7" max="7" width="16" customWidth="1"/>
    <col min="8" max="8" width="11" customWidth="1"/>
    <col min="9" max="9" width="15" customWidth="1"/>
    <col min="10" max="10" width="14" customWidth="1"/>
    <col min="11" max="11" width="17" customWidth="1"/>
    <col min="12" max="12" width="32" customWidth="1"/>
  </cols>
  <sheetData>
    <row r="1" spans="1:12" ht="32.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 t="s">
        <v>12</v>
      </c>
      <c r="B2" s="5" t="s">
        <v>13</v>
      </c>
      <c r="C2" s="6">
        <v>1</v>
      </c>
      <c r="D2" s="7"/>
      <c r="E2" s="7">
        <v>25</v>
      </c>
      <c r="F2" s="5" t="s">
        <v>14</v>
      </c>
      <c r="G2" s="5" t="s">
        <v>15</v>
      </c>
      <c r="H2" s="5" t="s">
        <v>16</v>
      </c>
      <c r="I2" s="7">
        <f t="shared" ref="I2:I33" si="0">IF(D2&lt;&gt;"",D2,IF(E2&lt;&gt;"",E2,0))</f>
        <v>25</v>
      </c>
      <c r="J2" s="8">
        <f>IF(G2="Joia",Parametros!$B$3,IF(G2="Mágico",Parametros!$B$4,Parametros!$B$2))</f>
        <v>0.15</v>
      </c>
      <c r="K2" s="7">
        <f t="shared" ref="K2:K33" si="1">IF(H2="Sim",I2*(1+J2),0)</f>
        <v>28.749999999999996</v>
      </c>
      <c r="L2" s="5"/>
    </row>
    <row r="3" spans="1:12">
      <c r="A3" s="5" t="s">
        <v>12</v>
      </c>
      <c r="B3" s="5" t="s">
        <v>17</v>
      </c>
      <c r="C3" s="6">
        <v>1</v>
      </c>
      <c r="D3" s="7"/>
      <c r="E3" s="7">
        <v>10</v>
      </c>
      <c r="F3" s="5" t="s">
        <v>14</v>
      </c>
      <c r="G3" s="5" t="s">
        <v>15</v>
      </c>
      <c r="H3" s="5" t="s">
        <v>16</v>
      </c>
      <c r="I3" s="7">
        <f t="shared" si="0"/>
        <v>10</v>
      </c>
      <c r="J3" s="8">
        <f>IF(G3="Joia",Parametros!$B$3,IF(G3="Mágico",Parametros!$B$4,Parametros!$B$2))</f>
        <v>0.15</v>
      </c>
      <c r="K3" s="7">
        <f t="shared" si="1"/>
        <v>11.5</v>
      </c>
      <c r="L3" s="5"/>
    </row>
    <row r="4" spans="1:12">
      <c r="A4" s="5" t="s">
        <v>18</v>
      </c>
      <c r="B4" s="5" t="s">
        <v>19</v>
      </c>
      <c r="C4" s="6">
        <v>1</v>
      </c>
      <c r="D4" s="7">
        <v>4.3</v>
      </c>
      <c r="E4" s="7"/>
      <c r="F4" s="5" t="s">
        <v>20</v>
      </c>
      <c r="G4" s="5" t="s">
        <v>21</v>
      </c>
      <c r="H4" s="5" t="s">
        <v>22</v>
      </c>
      <c r="I4" s="7">
        <f t="shared" si="0"/>
        <v>4.3</v>
      </c>
      <c r="J4" s="8">
        <f>IF(G4="Joia",Parametros!$B$3,IF(G4="Mágico",Parametros!$B$4,Parametros!$B$2))</f>
        <v>0.15</v>
      </c>
      <c r="K4" s="7">
        <f t="shared" si="1"/>
        <v>0</v>
      </c>
      <c r="L4" s="5"/>
    </row>
    <row r="5" spans="1:12">
      <c r="A5" s="5" t="s">
        <v>18</v>
      </c>
      <c r="B5" s="5" t="s">
        <v>23</v>
      </c>
      <c r="C5" s="6">
        <v>1</v>
      </c>
      <c r="D5" s="7">
        <v>9</v>
      </c>
      <c r="E5" s="7"/>
      <c r="F5" s="5" t="s">
        <v>24</v>
      </c>
      <c r="G5" s="5" t="s">
        <v>21</v>
      </c>
      <c r="H5" s="5" t="s">
        <v>22</v>
      </c>
      <c r="I5" s="7">
        <f t="shared" si="0"/>
        <v>9</v>
      </c>
      <c r="J5" s="8">
        <f>IF(G5="Joia",Parametros!$B$3,IF(G5="Mágico",Parametros!$B$4,Parametros!$B$2))</f>
        <v>0.15</v>
      </c>
      <c r="K5" s="7">
        <f t="shared" si="1"/>
        <v>0</v>
      </c>
      <c r="L5" s="5"/>
    </row>
    <row r="6" spans="1:12" ht="28.5">
      <c r="A6" s="5" t="s">
        <v>18</v>
      </c>
      <c r="B6" s="5" t="s">
        <v>25</v>
      </c>
      <c r="C6" s="6">
        <v>1</v>
      </c>
      <c r="D6" s="7"/>
      <c r="E6" s="7">
        <v>150</v>
      </c>
      <c r="F6" s="5" t="s">
        <v>26</v>
      </c>
      <c r="G6" s="5" t="s">
        <v>27</v>
      </c>
      <c r="H6" s="5" t="s">
        <v>22</v>
      </c>
      <c r="I6" s="7">
        <f t="shared" si="0"/>
        <v>150</v>
      </c>
      <c r="J6" s="8">
        <f>IF(G6="Joia",Parametros!$B$3,IF(G6="Mágico",Parametros!$B$4,Parametros!$B$2))</f>
        <v>0.15</v>
      </c>
      <c r="K6" s="7">
        <f t="shared" si="1"/>
        <v>0</v>
      </c>
      <c r="L6" s="5" t="s">
        <v>28</v>
      </c>
    </row>
    <row r="7" spans="1:12" ht="28.5">
      <c r="A7" s="5" t="s">
        <v>29</v>
      </c>
      <c r="B7" s="5" t="s">
        <v>30</v>
      </c>
      <c r="C7" s="6">
        <v>1</v>
      </c>
      <c r="D7" s="7"/>
      <c r="E7" s="7">
        <v>25</v>
      </c>
      <c r="F7" s="5" t="s">
        <v>31</v>
      </c>
      <c r="G7" s="5" t="s">
        <v>32</v>
      </c>
      <c r="H7" s="5" t="s">
        <v>22</v>
      </c>
      <c r="I7" s="7">
        <f t="shared" si="0"/>
        <v>25</v>
      </c>
      <c r="J7" s="8">
        <f>IF(G7="Joia",Parametros!$B$3,IF(G7="Mágico",Parametros!$B$4,Parametros!$B$2))</f>
        <v>0.15</v>
      </c>
      <c r="K7" s="7">
        <f t="shared" si="1"/>
        <v>0</v>
      </c>
      <c r="L7" s="5" t="s">
        <v>28</v>
      </c>
    </row>
    <row r="8" spans="1:12">
      <c r="A8" s="5" t="s">
        <v>33</v>
      </c>
      <c r="B8" s="5" t="s">
        <v>34</v>
      </c>
      <c r="C8" s="6">
        <v>1</v>
      </c>
      <c r="D8" s="7"/>
      <c r="E8" s="7">
        <v>5</v>
      </c>
      <c r="F8" s="5" t="s">
        <v>35</v>
      </c>
      <c r="G8" s="5" t="s">
        <v>15</v>
      </c>
      <c r="H8" s="5" t="s">
        <v>22</v>
      </c>
      <c r="I8" s="7">
        <f t="shared" si="0"/>
        <v>5</v>
      </c>
      <c r="J8" s="8">
        <f>IF(G8="Joia",Parametros!$B$3,IF(G8="Mágico",Parametros!$B$4,Parametros!$B$2))</f>
        <v>0.15</v>
      </c>
      <c r="K8" s="7">
        <f t="shared" si="1"/>
        <v>0</v>
      </c>
      <c r="L8" s="5"/>
    </row>
    <row r="9" spans="1:12">
      <c r="A9" s="5" t="s">
        <v>33</v>
      </c>
      <c r="B9" s="5" t="s">
        <v>36</v>
      </c>
      <c r="C9" s="6">
        <v>1</v>
      </c>
      <c r="D9" s="7"/>
      <c r="E9" s="7">
        <v>12.5</v>
      </c>
      <c r="F9" s="5" t="s">
        <v>37</v>
      </c>
      <c r="G9" s="5" t="s">
        <v>15</v>
      </c>
      <c r="H9" s="5" t="s">
        <v>22</v>
      </c>
      <c r="I9" s="7">
        <f t="shared" si="0"/>
        <v>12.5</v>
      </c>
      <c r="J9" s="8">
        <f>IF(G9="Joia",Parametros!$B$3,IF(G9="Mágico",Parametros!$B$4,Parametros!$B$2))</f>
        <v>0.15</v>
      </c>
      <c r="K9" s="7">
        <f t="shared" si="1"/>
        <v>0</v>
      </c>
      <c r="L9" s="5"/>
    </row>
    <row r="10" spans="1:12">
      <c r="A10" s="5" t="s">
        <v>33</v>
      </c>
      <c r="B10" s="5" t="s">
        <v>38</v>
      </c>
      <c r="C10" s="6">
        <v>1</v>
      </c>
      <c r="D10" s="7"/>
      <c r="E10" s="7">
        <v>0.8</v>
      </c>
      <c r="F10" s="5" t="s">
        <v>39</v>
      </c>
      <c r="G10" s="5" t="s">
        <v>15</v>
      </c>
      <c r="H10" s="5" t="s">
        <v>16</v>
      </c>
      <c r="I10" s="7">
        <f t="shared" si="0"/>
        <v>0.8</v>
      </c>
      <c r="J10" s="8">
        <f>IF(G10="Joia",Parametros!$B$3,IF(G10="Mágico",Parametros!$B$4,Parametros!$B$2))</f>
        <v>0.15</v>
      </c>
      <c r="K10" s="7">
        <f t="shared" si="1"/>
        <v>0.91999999999999993</v>
      </c>
      <c r="L10" s="5"/>
    </row>
    <row r="11" spans="1:12" ht="28.5">
      <c r="A11" s="5" t="s">
        <v>40</v>
      </c>
      <c r="B11" s="5" t="s">
        <v>41</v>
      </c>
      <c r="C11" s="6">
        <v>1</v>
      </c>
      <c r="D11" s="7"/>
      <c r="E11" s="7">
        <v>500</v>
      </c>
      <c r="F11" s="5" t="s">
        <v>42</v>
      </c>
      <c r="G11" s="5" t="s">
        <v>27</v>
      </c>
      <c r="H11" s="5" t="s">
        <v>22</v>
      </c>
      <c r="I11" s="7">
        <f t="shared" si="0"/>
        <v>500</v>
      </c>
      <c r="J11" s="8">
        <f>IF(G11="Joia",Parametros!$B$3,IF(G11="Mágico",Parametros!$B$4,Parametros!$B$2))</f>
        <v>0.15</v>
      </c>
      <c r="K11" s="7">
        <f t="shared" si="1"/>
        <v>0</v>
      </c>
      <c r="L11" s="5" t="s">
        <v>28</v>
      </c>
    </row>
    <row r="12" spans="1:12" ht="28.5">
      <c r="A12" s="5" t="s">
        <v>40</v>
      </c>
      <c r="B12" s="5" t="s">
        <v>43</v>
      </c>
      <c r="C12" s="6">
        <v>1</v>
      </c>
      <c r="D12" s="7"/>
      <c r="E12" s="7">
        <v>300</v>
      </c>
      <c r="F12" s="5" t="s">
        <v>44</v>
      </c>
      <c r="G12" s="5" t="s">
        <v>27</v>
      </c>
      <c r="H12" s="5" t="s">
        <v>22</v>
      </c>
      <c r="I12" s="7">
        <f t="shared" si="0"/>
        <v>300</v>
      </c>
      <c r="J12" s="8">
        <f>IF(G12="Joia",Parametros!$B$3,IF(G12="Mágico",Parametros!$B$4,Parametros!$B$2))</f>
        <v>0.15</v>
      </c>
      <c r="K12" s="7">
        <f t="shared" si="1"/>
        <v>0</v>
      </c>
      <c r="L12" s="5" t="s">
        <v>28</v>
      </c>
    </row>
    <row r="13" spans="1:12" ht="28.5">
      <c r="A13" s="5" t="s">
        <v>40</v>
      </c>
      <c r="B13" s="5" t="s">
        <v>45</v>
      </c>
      <c r="C13" s="6">
        <v>1</v>
      </c>
      <c r="D13" s="7"/>
      <c r="E13" s="7">
        <v>150</v>
      </c>
      <c r="F13" s="5" t="s">
        <v>44</v>
      </c>
      <c r="G13" s="5" t="s">
        <v>27</v>
      </c>
      <c r="H13" s="5" t="s">
        <v>22</v>
      </c>
      <c r="I13" s="7">
        <f t="shared" si="0"/>
        <v>150</v>
      </c>
      <c r="J13" s="8">
        <f>IF(G13="Joia",Parametros!$B$3,IF(G13="Mágico",Parametros!$B$4,Parametros!$B$2))</f>
        <v>0.15</v>
      </c>
      <c r="K13" s="7">
        <f t="shared" si="1"/>
        <v>0</v>
      </c>
      <c r="L13" s="5" t="s">
        <v>28</v>
      </c>
    </row>
    <row r="14" spans="1:12">
      <c r="A14" s="5" t="s">
        <v>40</v>
      </c>
      <c r="B14" s="5" t="s">
        <v>46</v>
      </c>
      <c r="C14" s="6">
        <v>1</v>
      </c>
      <c r="D14" s="7"/>
      <c r="E14" s="7">
        <v>0.01</v>
      </c>
      <c r="F14" s="5" t="s">
        <v>14</v>
      </c>
      <c r="G14" s="5" t="s">
        <v>15</v>
      </c>
      <c r="H14" s="5" t="s">
        <v>16</v>
      </c>
      <c r="I14" s="7">
        <f t="shared" si="0"/>
        <v>0.01</v>
      </c>
      <c r="J14" s="8">
        <f>IF(G14="Joia",Parametros!$B$3,IF(G14="Mágico",Parametros!$B$4,Parametros!$B$2))</f>
        <v>0.15</v>
      </c>
      <c r="K14" s="7">
        <f t="shared" si="1"/>
        <v>1.15E-2</v>
      </c>
      <c r="L14" s="5"/>
    </row>
    <row r="15" spans="1:12" ht="28.5">
      <c r="A15" s="5" t="s">
        <v>40</v>
      </c>
      <c r="B15" s="5" t="s">
        <v>47</v>
      </c>
      <c r="C15" s="6">
        <v>1</v>
      </c>
      <c r="D15" s="7"/>
      <c r="E15" s="7">
        <v>90</v>
      </c>
      <c r="F15" s="5" t="s">
        <v>48</v>
      </c>
      <c r="G15" s="5" t="s">
        <v>49</v>
      </c>
      <c r="H15" s="5" t="s">
        <v>16</v>
      </c>
      <c r="I15" s="7">
        <f t="shared" si="0"/>
        <v>90</v>
      </c>
      <c r="J15" s="8">
        <f>IF(G15="Joia",Parametros!$B$3,IF(G15="Mágico",Parametros!$B$4,Parametros!$B$2))</f>
        <v>0.05</v>
      </c>
      <c r="K15" s="7">
        <f t="shared" si="1"/>
        <v>94.5</v>
      </c>
      <c r="L15" s="5"/>
    </row>
    <row r="16" spans="1:12">
      <c r="A16" s="5" t="s">
        <v>50</v>
      </c>
      <c r="B16" s="5" t="s">
        <v>51</v>
      </c>
      <c r="C16" s="6">
        <v>1</v>
      </c>
      <c r="D16" s="7">
        <v>31.2</v>
      </c>
      <c r="E16" s="7"/>
      <c r="F16" s="5" t="s">
        <v>52</v>
      </c>
      <c r="G16" s="5" t="s">
        <v>21</v>
      </c>
      <c r="H16" s="5" t="s">
        <v>22</v>
      </c>
      <c r="I16" s="7">
        <f t="shared" si="0"/>
        <v>31.2</v>
      </c>
      <c r="J16" s="8">
        <f>IF(G16="Joia",Parametros!$B$3,IF(G16="Mágico",Parametros!$B$4,Parametros!$B$2))</f>
        <v>0.15</v>
      </c>
      <c r="K16" s="7">
        <f t="shared" si="1"/>
        <v>0</v>
      </c>
      <c r="L16" s="5"/>
    </row>
    <row r="17" spans="1:12">
      <c r="A17" s="5" t="s">
        <v>50</v>
      </c>
      <c r="B17" s="5" t="s">
        <v>53</v>
      </c>
      <c r="C17" s="6">
        <v>1</v>
      </c>
      <c r="D17" s="7">
        <v>68</v>
      </c>
      <c r="E17" s="7"/>
      <c r="F17" s="5" t="s">
        <v>24</v>
      </c>
      <c r="G17" s="5" t="s">
        <v>21</v>
      </c>
      <c r="H17" s="5" t="s">
        <v>22</v>
      </c>
      <c r="I17" s="7">
        <f t="shared" si="0"/>
        <v>68</v>
      </c>
      <c r="J17" s="8">
        <f>IF(G17="Joia",Parametros!$B$3,IF(G17="Mágico",Parametros!$B$4,Parametros!$B$2))</f>
        <v>0.15</v>
      </c>
      <c r="K17" s="7">
        <f t="shared" si="1"/>
        <v>0</v>
      </c>
      <c r="L17" s="5"/>
    </row>
    <row r="18" spans="1:12">
      <c r="A18" s="5" t="s">
        <v>50</v>
      </c>
      <c r="B18" s="5" t="s">
        <v>54</v>
      </c>
      <c r="C18" s="6">
        <v>1</v>
      </c>
      <c r="D18" s="7">
        <v>17</v>
      </c>
      <c r="E18" s="7"/>
      <c r="F18" s="5" t="s">
        <v>24</v>
      </c>
      <c r="G18" s="5" t="s">
        <v>21</v>
      </c>
      <c r="H18" s="5" t="s">
        <v>22</v>
      </c>
      <c r="I18" s="7">
        <f t="shared" si="0"/>
        <v>17</v>
      </c>
      <c r="J18" s="8">
        <f>IF(G18="Joia",Parametros!$B$3,IF(G18="Mágico",Parametros!$B$4,Parametros!$B$2))</f>
        <v>0.15</v>
      </c>
      <c r="K18" s="7">
        <f t="shared" si="1"/>
        <v>0</v>
      </c>
      <c r="L18" s="5"/>
    </row>
    <row r="19" spans="1:12" ht="28.5">
      <c r="A19" s="5" t="s">
        <v>50</v>
      </c>
      <c r="B19" s="5" t="s">
        <v>55</v>
      </c>
      <c r="C19" s="6">
        <v>1</v>
      </c>
      <c r="D19" s="7"/>
      <c r="E19" s="7">
        <v>25</v>
      </c>
      <c r="F19" s="5" t="s">
        <v>56</v>
      </c>
      <c r="G19" s="5" t="s">
        <v>57</v>
      </c>
      <c r="H19" s="5" t="s">
        <v>22</v>
      </c>
      <c r="I19" s="7">
        <f t="shared" si="0"/>
        <v>25</v>
      </c>
      <c r="J19" s="8">
        <f>IF(G19="Joia",Parametros!$B$3,IF(G19="Mágico",Parametros!$B$4,Parametros!$B$2))</f>
        <v>0.15</v>
      </c>
      <c r="K19" s="7">
        <f t="shared" si="1"/>
        <v>0</v>
      </c>
      <c r="L19" s="5" t="s">
        <v>28</v>
      </c>
    </row>
    <row r="20" spans="1:12">
      <c r="A20" s="5" t="s">
        <v>50</v>
      </c>
      <c r="B20" s="5" t="s">
        <v>58</v>
      </c>
      <c r="C20" s="6">
        <v>1</v>
      </c>
      <c r="D20" s="7"/>
      <c r="E20" s="7">
        <v>4</v>
      </c>
      <c r="F20" s="5" t="s">
        <v>59</v>
      </c>
      <c r="G20" s="5" t="s">
        <v>15</v>
      </c>
      <c r="H20" s="5" t="s">
        <v>16</v>
      </c>
      <c r="I20" s="7">
        <f t="shared" si="0"/>
        <v>4</v>
      </c>
      <c r="J20" s="8">
        <f>IF(G20="Joia",Parametros!$B$3,IF(G20="Mágico",Parametros!$B$4,Parametros!$B$2))</f>
        <v>0.15</v>
      </c>
      <c r="K20" s="7">
        <f t="shared" si="1"/>
        <v>4.5999999999999996</v>
      </c>
      <c r="L20" s="5"/>
    </row>
    <row r="21" spans="1:12">
      <c r="A21" s="5" t="s">
        <v>50</v>
      </c>
      <c r="B21" s="5" t="s">
        <v>60</v>
      </c>
      <c r="C21" s="6">
        <v>1</v>
      </c>
      <c r="D21" s="7"/>
      <c r="E21" s="7">
        <v>50</v>
      </c>
      <c r="F21" s="5" t="s">
        <v>14</v>
      </c>
      <c r="G21" s="5" t="s">
        <v>15</v>
      </c>
      <c r="H21" s="5" t="s">
        <v>16</v>
      </c>
      <c r="I21" s="7">
        <f t="shared" si="0"/>
        <v>50</v>
      </c>
      <c r="J21" s="8">
        <f>IF(G21="Joia",Parametros!$B$3,IF(G21="Mágico",Parametros!$B$4,Parametros!$B$2))</f>
        <v>0.15</v>
      </c>
      <c r="K21" s="7">
        <f t="shared" si="1"/>
        <v>57.499999999999993</v>
      </c>
      <c r="L21" s="5"/>
    </row>
    <row r="22" spans="1:12">
      <c r="A22" s="5" t="s">
        <v>50</v>
      </c>
      <c r="B22" s="5" t="s">
        <v>61</v>
      </c>
      <c r="C22" s="6">
        <v>1</v>
      </c>
      <c r="D22" s="7"/>
      <c r="E22" s="7">
        <v>1</v>
      </c>
      <c r="F22" s="5" t="s">
        <v>14</v>
      </c>
      <c r="G22" s="5" t="s">
        <v>15</v>
      </c>
      <c r="H22" s="5" t="s">
        <v>16</v>
      </c>
      <c r="I22" s="7">
        <f t="shared" si="0"/>
        <v>1</v>
      </c>
      <c r="J22" s="8">
        <f>IF(G22="Joia",Parametros!$B$3,IF(G22="Mágico",Parametros!$B$4,Parametros!$B$2))</f>
        <v>0.15</v>
      </c>
      <c r="K22" s="7">
        <f t="shared" si="1"/>
        <v>1.1499999999999999</v>
      </c>
      <c r="L22" s="5"/>
    </row>
    <row r="23" spans="1:12">
      <c r="A23" s="5" t="s">
        <v>50</v>
      </c>
      <c r="B23" s="5" t="s">
        <v>62</v>
      </c>
      <c r="C23" s="6">
        <v>1</v>
      </c>
      <c r="D23" s="7">
        <v>75</v>
      </c>
      <c r="E23" s="7"/>
      <c r="F23" s="5" t="s">
        <v>63</v>
      </c>
      <c r="G23" s="5" t="s">
        <v>49</v>
      </c>
      <c r="H23" s="5" t="s">
        <v>16</v>
      </c>
      <c r="I23" s="7">
        <f t="shared" si="0"/>
        <v>75</v>
      </c>
      <c r="J23" s="8">
        <f>IF(G23="Joia",Parametros!$B$3,IF(G23="Mágico",Parametros!$B$4,Parametros!$B$2))</f>
        <v>0.05</v>
      </c>
      <c r="K23" s="7">
        <f t="shared" si="1"/>
        <v>78.75</v>
      </c>
      <c r="L23" s="5"/>
    </row>
    <row r="24" spans="1:12" ht="28.5">
      <c r="A24" s="5" t="s">
        <v>50</v>
      </c>
      <c r="B24" s="5" t="s">
        <v>64</v>
      </c>
      <c r="C24" s="6">
        <v>1</v>
      </c>
      <c r="D24" s="7"/>
      <c r="E24" s="7">
        <v>4</v>
      </c>
      <c r="F24" s="5" t="s">
        <v>65</v>
      </c>
      <c r="G24" s="5" t="s">
        <v>15</v>
      </c>
      <c r="H24" s="5" t="s">
        <v>22</v>
      </c>
      <c r="I24" s="7">
        <f t="shared" si="0"/>
        <v>4</v>
      </c>
      <c r="J24" s="8">
        <f>IF(G24="Joia",Parametros!$B$3,IF(G24="Mágico",Parametros!$B$4,Parametros!$B$2))</f>
        <v>0.15</v>
      </c>
      <c r="K24" s="7">
        <f t="shared" si="1"/>
        <v>0</v>
      </c>
      <c r="L24" s="5"/>
    </row>
    <row r="25" spans="1:12">
      <c r="A25" s="5" t="s">
        <v>50</v>
      </c>
      <c r="B25" s="5" t="s">
        <v>66</v>
      </c>
      <c r="C25" s="6">
        <v>1</v>
      </c>
      <c r="D25" s="7"/>
      <c r="E25" s="7">
        <v>0.5</v>
      </c>
      <c r="F25" s="5" t="s">
        <v>35</v>
      </c>
      <c r="G25" s="5" t="s">
        <v>15</v>
      </c>
      <c r="H25" s="5" t="s">
        <v>22</v>
      </c>
      <c r="I25" s="7">
        <f t="shared" si="0"/>
        <v>0.5</v>
      </c>
      <c r="J25" s="8">
        <f>IF(G25="Joia",Parametros!$B$3,IF(G25="Mágico",Parametros!$B$4,Parametros!$B$2))</f>
        <v>0.15</v>
      </c>
      <c r="K25" s="7">
        <f t="shared" si="1"/>
        <v>0</v>
      </c>
      <c r="L25" s="5"/>
    </row>
    <row r="26" spans="1:12">
      <c r="A26" s="5" t="s">
        <v>67</v>
      </c>
      <c r="B26" s="5" t="s">
        <v>68</v>
      </c>
      <c r="C26" s="6">
        <v>1</v>
      </c>
      <c r="D26" s="7">
        <v>50</v>
      </c>
      <c r="E26" s="7"/>
      <c r="F26" s="5" t="s">
        <v>24</v>
      </c>
      <c r="G26" s="5" t="s">
        <v>21</v>
      </c>
      <c r="H26" s="5" t="s">
        <v>22</v>
      </c>
      <c r="I26" s="7">
        <f t="shared" si="0"/>
        <v>50</v>
      </c>
      <c r="J26" s="8">
        <f>IF(G26="Joia",Parametros!$B$3,IF(G26="Mágico",Parametros!$B$4,Parametros!$B$2))</f>
        <v>0.15</v>
      </c>
      <c r="K26" s="7">
        <f t="shared" si="1"/>
        <v>0</v>
      </c>
      <c r="L26" s="5"/>
    </row>
    <row r="27" spans="1:12">
      <c r="A27" s="5" t="s">
        <v>67</v>
      </c>
      <c r="B27" s="5" t="s">
        <v>13</v>
      </c>
      <c r="C27" s="6">
        <v>1</v>
      </c>
      <c r="D27" s="7"/>
      <c r="E27" s="7">
        <v>25</v>
      </c>
      <c r="F27" s="5" t="s">
        <v>14</v>
      </c>
      <c r="G27" s="5" t="s">
        <v>15</v>
      </c>
      <c r="H27" s="5" t="s">
        <v>16</v>
      </c>
      <c r="I27" s="7">
        <f t="shared" si="0"/>
        <v>25</v>
      </c>
      <c r="J27" s="8">
        <f>IF(G27="Joia",Parametros!$B$3,IF(G27="Mágico",Parametros!$B$4,Parametros!$B$2))</f>
        <v>0.15</v>
      </c>
      <c r="K27" s="7">
        <f t="shared" si="1"/>
        <v>28.749999999999996</v>
      </c>
      <c r="L27" s="5"/>
    </row>
    <row r="28" spans="1:12">
      <c r="A28" s="5" t="s">
        <v>67</v>
      </c>
      <c r="B28" s="5" t="s">
        <v>69</v>
      </c>
      <c r="C28" s="6">
        <v>1</v>
      </c>
      <c r="D28" s="7"/>
      <c r="E28" s="7">
        <v>25</v>
      </c>
      <c r="F28" s="5" t="s">
        <v>14</v>
      </c>
      <c r="G28" s="5" t="s">
        <v>15</v>
      </c>
      <c r="H28" s="5" t="s">
        <v>16</v>
      </c>
      <c r="I28" s="7">
        <f t="shared" si="0"/>
        <v>25</v>
      </c>
      <c r="J28" s="8">
        <f>IF(G28="Joia",Parametros!$B$3,IF(G28="Mágico",Parametros!$B$4,Parametros!$B$2))</f>
        <v>0.15</v>
      </c>
      <c r="K28" s="7">
        <f t="shared" si="1"/>
        <v>28.749999999999996</v>
      </c>
      <c r="L28" s="5"/>
    </row>
    <row r="29" spans="1:12" ht="28.5">
      <c r="A29" s="5" t="s">
        <v>67</v>
      </c>
      <c r="B29" s="5" t="s">
        <v>70</v>
      </c>
      <c r="C29" s="6">
        <v>1</v>
      </c>
      <c r="D29" s="7"/>
      <c r="E29" s="7">
        <v>0</v>
      </c>
      <c r="F29" s="5" t="s">
        <v>71</v>
      </c>
      <c r="G29" s="5" t="s">
        <v>57</v>
      </c>
      <c r="H29" s="5" t="s">
        <v>16</v>
      </c>
      <c r="I29" s="7">
        <f t="shared" si="0"/>
        <v>0</v>
      </c>
      <c r="J29" s="8">
        <f>IF(G29="Joia",Parametros!$B$3,IF(G29="Mágico",Parametros!$B$4,Parametros!$B$2))</f>
        <v>0.15</v>
      </c>
      <c r="K29" s="7">
        <f t="shared" si="1"/>
        <v>0</v>
      </c>
      <c r="L29" s="5" t="s">
        <v>28</v>
      </c>
    </row>
    <row r="30" spans="1:12" ht="28.5">
      <c r="A30" s="5" t="s">
        <v>67</v>
      </c>
      <c r="B30" s="5" t="s">
        <v>72</v>
      </c>
      <c r="C30" s="6">
        <v>1</v>
      </c>
      <c r="D30" s="7">
        <v>50</v>
      </c>
      <c r="E30" s="7"/>
      <c r="F30" s="5" t="s">
        <v>24</v>
      </c>
      <c r="G30" s="5" t="s">
        <v>73</v>
      </c>
      <c r="H30" s="5" t="s">
        <v>16</v>
      </c>
      <c r="I30" s="7">
        <f t="shared" si="0"/>
        <v>50</v>
      </c>
      <c r="J30" s="8">
        <f>IF(G30="Joia",Parametros!$B$3,IF(G30="Mágico",Parametros!$B$4,Parametros!$B$2))</f>
        <v>0.15</v>
      </c>
      <c r="K30" s="7">
        <f t="shared" si="1"/>
        <v>57.499999999999993</v>
      </c>
      <c r="L30" s="5"/>
    </row>
    <row r="31" spans="1:12">
      <c r="A31" s="5" t="s">
        <v>67</v>
      </c>
      <c r="B31" s="5" t="s">
        <v>74</v>
      </c>
      <c r="C31" s="6">
        <v>1</v>
      </c>
      <c r="D31" s="7"/>
      <c r="E31" s="7">
        <v>225</v>
      </c>
      <c r="F31" s="5" t="s">
        <v>75</v>
      </c>
      <c r="G31" s="5" t="s">
        <v>15</v>
      </c>
      <c r="H31" s="5" t="s">
        <v>16</v>
      </c>
      <c r="I31" s="7">
        <f t="shared" si="0"/>
        <v>225</v>
      </c>
      <c r="J31" s="8">
        <f>IF(G31="Joia",Parametros!$B$3,IF(G31="Mágico",Parametros!$B$4,Parametros!$B$2))</f>
        <v>0.15</v>
      </c>
      <c r="K31" s="7">
        <f t="shared" si="1"/>
        <v>258.75</v>
      </c>
      <c r="L31" s="5"/>
    </row>
    <row r="32" spans="1:12">
      <c r="A32" s="5" t="s">
        <v>67</v>
      </c>
      <c r="B32" s="5" t="s">
        <v>76</v>
      </c>
      <c r="C32" s="6">
        <v>1</v>
      </c>
      <c r="D32" s="7"/>
      <c r="E32" s="7">
        <v>50</v>
      </c>
      <c r="F32" s="5" t="s">
        <v>77</v>
      </c>
      <c r="G32" s="5" t="s">
        <v>15</v>
      </c>
      <c r="H32" s="5" t="s">
        <v>16</v>
      </c>
      <c r="I32" s="7">
        <f t="shared" si="0"/>
        <v>50</v>
      </c>
      <c r="J32" s="8">
        <f>IF(G32="Joia",Parametros!$B$3,IF(G32="Mágico",Parametros!$B$4,Parametros!$B$2))</f>
        <v>0.15</v>
      </c>
      <c r="K32" s="7">
        <f t="shared" si="1"/>
        <v>57.499999999999993</v>
      </c>
      <c r="L32" s="5"/>
    </row>
    <row r="33" spans="1:12">
      <c r="A33" s="5" t="s">
        <v>78</v>
      </c>
      <c r="B33" s="5" t="s">
        <v>79</v>
      </c>
      <c r="C33" s="6">
        <v>1</v>
      </c>
      <c r="D33" s="7"/>
      <c r="E33" s="7">
        <v>0.5</v>
      </c>
      <c r="F33" s="5" t="s">
        <v>80</v>
      </c>
      <c r="G33" s="5" t="s">
        <v>15</v>
      </c>
      <c r="H33" s="5" t="s">
        <v>22</v>
      </c>
      <c r="I33" s="7">
        <f t="shared" si="0"/>
        <v>0.5</v>
      </c>
      <c r="J33" s="8">
        <f>IF(G33="Joia",Parametros!$B$3,IF(G33="Mágico",Parametros!$B$4,Parametros!$B$2))</f>
        <v>0.15</v>
      </c>
      <c r="K33" s="7">
        <f t="shared" si="1"/>
        <v>0</v>
      </c>
      <c r="L33" s="5"/>
    </row>
    <row r="34" spans="1:12" ht="28.5">
      <c r="A34" s="5" t="s">
        <v>78</v>
      </c>
      <c r="B34" s="5" t="s">
        <v>81</v>
      </c>
      <c r="C34" s="6">
        <v>1</v>
      </c>
      <c r="D34" s="7"/>
      <c r="E34" s="7">
        <v>1</v>
      </c>
      <c r="F34" s="5" t="s">
        <v>82</v>
      </c>
      <c r="G34" s="5" t="s">
        <v>32</v>
      </c>
      <c r="H34" s="5" t="s">
        <v>22</v>
      </c>
      <c r="I34" s="7">
        <f t="shared" ref="I34:I64" si="2">IF(D34&lt;&gt;"",D34,IF(E34&lt;&gt;"",E34,0))</f>
        <v>1</v>
      </c>
      <c r="J34" s="8">
        <f>IF(G34="Joia",Parametros!$B$3,IF(G34="Mágico",Parametros!$B$4,Parametros!$B$2))</f>
        <v>0.15</v>
      </c>
      <c r="K34" s="7">
        <f t="shared" ref="K34:K64" si="3">IF(H34="Sim",I34*(1+J34),0)</f>
        <v>0</v>
      </c>
      <c r="L34" s="5" t="s">
        <v>28</v>
      </c>
    </row>
    <row r="35" spans="1:12">
      <c r="A35" s="5" t="s">
        <v>83</v>
      </c>
      <c r="B35" s="5" t="s">
        <v>76</v>
      </c>
      <c r="C35" s="6">
        <v>1</v>
      </c>
      <c r="D35" s="7"/>
      <c r="E35" s="7">
        <v>50</v>
      </c>
      <c r="F35" s="5" t="s">
        <v>77</v>
      </c>
      <c r="G35" s="5" t="s">
        <v>15</v>
      </c>
      <c r="H35" s="5" t="s">
        <v>16</v>
      </c>
      <c r="I35" s="7">
        <f t="shared" si="2"/>
        <v>50</v>
      </c>
      <c r="J35" s="8">
        <f>IF(G35="Joia",Parametros!$B$3,IF(G35="Mágico",Parametros!$B$4,Parametros!$B$2))</f>
        <v>0.15</v>
      </c>
      <c r="K35" s="7">
        <f t="shared" si="3"/>
        <v>57.499999999999993</v>
      </c>
      <c r="L35" s="5"/>
    </row>
    <row r="36" spans="1:12">
      <c r="A36" s="5" t="s">
        <v>83</v>
      </c>
      <c r="B36" s="5" t="s">
        <v>84</v>
      </c>
      <c r="C36" s="6">
        <v>1</v>
      </c>
      <c r="D36" s="7"/>
      <c r="E36" s="7">
        <v>75</v>
      </c>
      <c r="F36" s="5" t="s">
        <v>85</v>
      </c>
      <c r="G36" s="5" t="s">
        <v>15</v>
      </c>
      <c r="H36" s="5" t="s">
        <v>16</v>
      </c>
      <c r="I36" s="7">
        <f t="shared" si="2"/>
        <v>75</v>
      </c>
      <c r="J36" s="8">
        <f>IF(G36="Joia",Parametros!$B$3,IF(G36="Mágico",Parametros!$B$4,Parametros!$B$2))</f>
        <v>0.15</v>
      </c>
      <c r="K36" s="7">
        <f t="shared" si="3"/>
        <v>86.25</v>
      </c>
      <c r="L36" s="5"/>
    </row>
    <row r="37" spans="1:12">
      <c r="A37" s="5" t="s">
        <v>83</v>
      </c>
      <c r="B37" s="5" t="s">
        <v>86</v>
      </c>
      <c r="C37" s="6">
        <v>1</v>
      </c>
      <c r="D37" s="7"/>
      <c r="E37" s="7">
        <v>1</v>
      </c>
      <c r="F37" s="5" t="s">
        <v>35</v>
      </c>
      <c r="G37" s="5" t="s">
        <v>15</v>
      </c>
      <c r="H37" s="5" t="s">
        <v>22</v>
      </c>
      <c r="I37" s="7">
        <f t="shared" si="2"/>
        <v>1</v>
      </c>
      <c r="J37" s="8">
        <f>IF(G37="Joia",Parametros!$B$3,IF(G37="Mágico",Parametros!$B$4,Parametros!$B$2))</f>
        <v>0.15</v>
      </c>
      <c r="K37" s="7">
        <f t="shared" si="3"/>
        <v>0</v>
      </c>
      <c r="L37" s="5"/>
    </row>
    <row r="38" spans="1:12">
      <c r="A38" s="5" t="s">
        <v>87</v>
      </c>
      <c r="B38" s="5" t="s">
        <v>88</v>
      </c>
      <c r="C38" s="6">
        <v>1</v>
      </c>
      <c r="D38" s="7">
        <v>20</v>
      </c>
      <c r="E38" s="7"/>
      <c r="F38" s="5" t="s">
        <v>24</v>
      </c>
      <c r="G38" s="5" t="s">
        <v>49</v>
      </c>
      <c r="H38" s="5" t="s">
        <v>16</v>
      </c>
      <c r="I38" s="7">
        <f t="shared" si="2"/>
        <v>20</v>
      </c>
      <c r="J38" s="8">
        <f>IF(G38="Joia",Parametros!$B$3,IF(G38="Mágico",Parametros!$B$4,Parametros!$B$2))</f>
        <v>0.05</v>
      </c>
      <c r="K38" s="7">
        <f t="shared" si="3"/>
        <v>21</v>
      </c>
      <c r="L38" s="5"/>
    </row>
    <row r="39" spans="1:12">
      <c r="A39" s="5" t="s">
        <v>87</v>
      </c>
      <c r="B39" s="5" t="s">
        <v>89</v>
      </c>
      <c r="C39" s="6">
        <v>1</v>
      </c>
      <c r="D39" s="7">
        <v>5</v>
      </c>
      <c r="E39" s="7"/>
      <c r="F39" s="5" t="s">
        <v>24</v>
      </c>
      <c r="G39" s="5" t="s">
        <v>73</v>
      </c>
      <c r="H39" s="5" t="s">
        <v>16</v>
      </c>
      <c r="I39" s="7">
        <f t="shared" si="2"/>
        <v>5</v>
      </c>
      <c r="J39" s="8">
        <f>IF(G39="Joia",Parametros!$B$3,IF(G39="Mágico",Parametros!$B$4,Parametros!$B$2))</f>
        <v>0.15</v>
      </c>
      <c r="K39" s="7">
        <f t="shared" si="3"/>
        <v>5.75</v>
      </c>
      <c r="L39" s="5"/>
    </row>
    <row r="40" spans="1:12">
      <c r="A40" s="5" t="s">
        <v>87</v>
      </c>
      <c r="B40" s="5" t="s">
        <v>90</v>
      </c>
      <c r="C40" s="6">
        <v>1</v>
      </c>
      <c r="D40" s="7">
        <v>24</v>
      </c>
      <c r="E40" s="7"/>
      <c r="F40" s="5" t="s">
        <v>91</v>
      </c>
      <c r="G40" s="5" t="s">
        <v>73</v>
      </c>
      <c r="H40" s="5" t="s">
        <v>16</v>
      </c>
      <c r="I40" s="7">
        <f t="shared" si="2"/>
        <v>24</v>
      </c>
      <c r="J40" s="8">
        <f>IF(G40="Joia",Parametros!$B$3,IF(G40="Mágico",Parametros!$B$4,Parametros!$B$2))</f>
        <v>0.15</v>
      </c>
      <c r="K40" s="7">
        <f t="shared" si="3"/>
        <v>27.599999999999998</v>
      </c>
      <c r="L40" s="5"/>
    </row>
    <row r="41" spans="1:12" ht="28.5">
      <c r="A41" s="5" t="s">
        <v>87</v>
      </c>
      <c r="B41" s="5" t="s">
        <v>92</v>
      </c>
      <c r="C41" s="6">
        <v>1</v>
      </c>
      <c r="D41" s="7"/>
      <c r="E41" s="7">
        <v>5</v>
      </c>
      <c r="F41" s="5" t="s">
        <v>93</v>
      </c>
      <c r="G41" s="5" t="s">
        <v>94</v>
      </c>
      <c r="H41" s="5" t="s">
        <v>22</v>
      </c>
      <c r="I41" s="7">
        <f t="shared" si="2"/>
        <v>5</v>
      </c>
      <c r="J41" s="8">
        <f>IF(G41="Joia",Parametros!$B$3,IF(G41="Mágico",Parametros!$B$4,Parametros!$B$2))</f>
        <v>0.15</v>
      </c>
      <c r="K41" s="7">
        <f t="shared" si="3"/>
        <v>0</v>
      </c>
      <c r="L41" s="5" t="s">
        <v>28</v>
      </c>
    </row>
    <row r="42" spans="1:12" ht="28.5">
      <c r="A42" s="5" t="s">
        <v>95</v>
      </c>
      <c r="B42" s="5" t="s">
        <v>96</v>
      </c>
      <c r="C42" s="6">
        <v>1</v>
      </c>
      <c r="D42" s="7"/>
      <c r="E42" s="7">
        <v>50</v>
      </c>
      <c r="F42" s="5" t="s">
        <v>97</v>
      </c>
      <c r="G42" s="5" t="s">
        <v>27</v>
      </c>
      <c r="H42" s="5" t="s">
        <v>16</v>
      </c>
      <c r="I42" s="7">
        <f t="shared" si="2"/>
        <v>50</v>
      </c>
      <c r="J42" s="8">
        <f>IF(G42="Joia",Parametros!$B$3,IF(G42="Mágico",Parametros!$B$4,Parametros!$B$2))</f>
        <v>0.15</v>
      </c>
      <c r="K42" s="7">
        <f t="shared" si="3"/>
        <v>57.499999999999993</v>
      </c>
      <c r="L42" s="5" t="s">
        <v>28</v>
      </c>
    </row>
    <row r="43" spans="1:12" ht="28.5">
      <c r="A43" s="5" t="s">
        <v>95</v>
      </c>
      <c r="B43" s="5" t="s">
        <v>98</v>
      </c>
      <c r="C43" s="6">
        <v>1</v>
      </c>
      <c r="D43" s="7"/>
      <c r="E43" s="7">
        <v>500</v>
      </c>
      <c r="F43" s="5" t="s">
        <v>99</v>
      </c>
      <c r="G43" s="5" t="s">
        <v>27</v>
      </c>
      <c r="H43" s="5" t="s">
        <v>22</v>
      </c>
      <c r="I43" s="7">
        <f t="shared" si="2"/>
        <v>500</v>
      </c>
      <c r="J43" s="8">
        <f>IF(G43="Joia",Parametros!$B$3,IF(G43="Mágico",Parametros!$B$4,Parametros!$B$2))</f>
        <v>0.15</v>
      </c>
      <c r="K43" s="7">
        <f t="shared" si="3"/>
        <v>0</v>
      </c>
      <c r="L43" s="5" t="s">
        <v>28</v>
      </c>
    </row>
    <row r="44" spans="1:12" ht="28.5">
      <c r="A44" s="5" t="s">
        <v>95</v>
      </c>
      <c r="B44" s="5" t="s">
        <v>100</v>
      </c>
      <c r="C44" s="6">
        <v>1</v>
      </c>
      <c r="D44" s="7"/>
      <c r="E44" s="7">
        <v>50</v>
      </c>
      <c r="F44" s="5" t="s">
        <v>101</v>
      </c>
      <c r="G44" s="5" t="s">
        <v>27</v>
      </c>
      <c r="H44" s="5" t="s">
        <v>22</v>
      </c>
      <c r="I44" s="7">
        <f t="shared" si="2"/>
        <v>50</v>
      </c>
      <c r="J44" s="8">
        <f>IF(G44="Joia",Parametros!$B$3,IF(G44="Mágico",Parametros!$B$4,Parametros!$B$2))</f>
        <v>0.15</v>
      </c>
      <c r="K44" s="7">
        <f t="shared" si="3"/>
        <v>0</v>
      </c>
      <c r="L44" s="5" t="s">
        <v>28</v>
      </c>
    </row>
    <row r="45" spans="1:12" ht="28.5">
      <c r="A45" s="5" t="s">
        <v>95</v>
      </c>
      <c r="B45" s="5" t="s">
        <v>102</v>
      </c>
      <c r="C45" s="6">
        <v>1</v>
      </c>
      <c r="D45" s="7"/>
      <c r="E45" s="7">
        <v>50</v>
      </c>
      <c r="F45" s="5" t="s">
        <v>103</v>
      </c>
      <c r="G45" s="5" t="s">
        <v>27</v>
      </c>
      <c r="H45" s="5" t="s">
        <v>22</v>
      </c>
      <c r="I45" s="7">
        <f t="shared" si="2"/>
        <v>50</v>
      </c>
      <c r="J45" s="8">
        <f>IF(G45="Joia",Parametros!$B$3,IF(G45="Mágico",Parametros!$B$4,Parametros!$B$2))</f>
        <v>0.15</v>
      </c>
      <c r="K45" s="7">
        <f t="shared" si="3"/>
        <v>0</v>
      </c>
      <c r="L45" s="5" t="s">
        <v>28</v>
      </c>
    </row>
    <row r="46" spans="1:12" ht="28.5">
      <c r="A46" s="5" t="s">
        <v>95</v>
      </c>
      <c r="B46" s="5" t="s">
        <v>104</v>
      </c>
      <c r="C46" s="6">
        <v>1</v>
      </c>
      <c r="D46" s="7"/>
      <c r="E46" s="7">
        <v>50</v>
      </c>
      <c r="F46" s="5" t="s">
        <v>103</v>
      </c>
      <c r="G46" s="5" t="s">
        <v>27</v>
      </c>
      <c r="H46" s="5" t="s">
        <v>22</v>
      </c>
      <c r="I46" s="7">
        <f t="shared" si="2"/>
        <v>50</v>
      </c>
      <c r="J46" s="8">
        <f>IF(G46="Joia",Parametros!$B$3,IF(G46="Mágico",Parametros!$B$4,Parametros!$B$2))</f>
        <v>0.15</v>
      </c>
      <c r="K46" s="7">
        <f t="shared" si="3"/>
        <v>0</v>
      </c>
      <c r="L46" s="5" t="s">
        <v>28</v>
      </c>
    </row>
    <row r="47" spans="1:12" ht="28.5">
      <c r="A47" s="5" t="s">
        <v>95</v>
      </c>
      <c r="B47" s="5" t="s">
        <v>105</v>
      </c>
      <c r="C47" s="6">
        <v>1</v>
      </c>
      <c r="D47" s="7"/>
      <c r="E47" s="7">
        <v>600</v>
      </c>
      <c r="F47" s="5" t="s">
        <v>106</v>
      </c>
      <c r="G47" s="5" t="s">
        <v>27</v>
      </c>
      <c r="H47" s="5" t="s">
        <v>22</v>
      </c>
      <c r="I47" s="7">
        <f t="shared" si="2"/>
        <v>600</v>
      </c>
      <c r="J47" s="8">
        <f>IF(G47="Joia",Parametros!$B$3,IF(G47="Mágico",Parametros!$B$4,Parametros!$B$2))</f>
        <v>0.15</v>
      </c>
      <c r="K47" s="7">
        <f t="shared" si="3"/>
        <v>0</v>
      </c>
      <c r="L47" s="5" t="s">
        <v>28</v>
      </c>
    </row>
    <row r="48" spans="1:12">
      <c r="A48" s="5" t="s">
        <v>107</v>
      </c>
      <c r="B48" s="5" t="s">
        <v>108</v>
      </c>
      <c r="C48" s="6">
        <v>1</v>
      </c>
      <c r="D48" s="7">
        <v>35</v>
      </c>
      <c r="E48" s="7"/>
      <c r="F48" s="5" t="s">
        <v>24</v>
      </c>
      <c r="G48" s="5" t="s">
        <v>21</v>
      </c>
      <c r="H48" s="5" t="s">
        <v>22</v>
      </c>
      <c r="I48" s="7">
        <f t="shared" si="2"/>
        <v>35</v>
      </c>
      <c r="J48" s="8">
        <f>IF(G48="Joia",Parametros!$B$3,IF(G48="Mágico",Parametros!$B$4,Parametros!$B$2))</f>
        <v>0.15</v>
      </c>
      <c r="K48" s="7">
        <f t="shared" si="3"/>
        <v>0</v>
      </c>
      <c r="L48" s="5"/>
    </row>
    <row r="49" spans="1:12">
      <c r="A49" s="5" t="s">
        <v>109</v>
      </c>
      <c r="B49" s="5" t="s">
        <v>110</v>
      </c>
      <c r="C49" s="6">
        <v>1</v>
      </c>
      <c r="D49" s="7">
        <v>22</v>
      </c>
      <c r="E49" s="7"/>
      <c r="F49" s="5" t="s">
        <v>111</v>
      </c>
      <c r="G49" s="5" t="s">
        <v>21</v>
      </c>
      <c r="H49" s="5" t="s">
        <v>22</v>
      </c>
      <c r="I49" s="7">
        <f t="shared" si="2"/>
        <v>22</v>
      </c>
      <c r="J49" s="8">
        <f>IF(G49="Joia",Parametros!$B$3,IF(G49="Mágico",Parametros!$B$4,Parametros!$B$2))</f>
        <v>0.15</v>
      </c>
      <c r="K49" s="7">
        <f t="shared" si="3"/>
        <v>0</v>
      </c>
      <c r="L49" s="5"/>
    </row>
    <row r="50" spans="1:12">
      <c r="A50" s="5" t="s">
        <v>109</v>
      </c>
      <c r="B50" s="5" t="s">
        <v>68</v>
      </c>
      <c r="C50" s="6">
        <v>1</v>
      </c>
      <c r="D50" s="7">
        <v>50</v>
      </c>
      <c r="E50" s="7"/>
      <c r="F50" s="5" t="s">
        <v>24</v>
      </c>
      <c r="G50" s="5" t="s">
        <v>21</v>
      </c>
      <c r="H50" s="5" t="s">
        <v>22</v>
      </c>
      <c r="I50" s="7">
        <f t="shared" si="2"/>
        <v>50</v>
      </c>
      <c r="J50" s="8">
        <f>IF(G50="Joia",Parametros!$B$3,IF(G50="Mágico",Parametros!$B$4,Parametros!$B$2))</f>
        <v>0.15</v>
      </c>
      <c r="K50" s="7">
        <f t="shared" si="3"/>
        <v>0</v>
      </c>
      <c r="L50" s="5"/>
    </row>
    <row r="51" spans="1:12" ht="28.5">
      <c r="A51" s="5" t="s">
        <v>109</v>
      </c>
      <c r="B51" s="5" t="s">
        <v>112</v>
      </c>
      <c r="C51" s="6">
        <v>1</v>
      </c>
      <c r="D51" s="7">
        <v>125</v>
      </c>
      <c r="E51" s="7"/>
      <c r="F51" s="5" t="s">
        <v>24</v>
      </c>
      <c r="G51" s="5" t="s">
        <v>32</v>
      </c>
      <c r="H51" s="5" t="s">
        <v>22</v>
      </c>
      <c r="I51" s="7">
        <f t="shared" si="2"/>
        <v>125</v>
      </c>
      <c r="J51" s="8">
        <f>IF(G51="Joia",Parametros!$B$3,IF(G51="Mágico",Parametros!$B$4,Parametros!$B$2))</f>
        <v>0.15</v>
      </c>
      <c r="K51" s="7">
        <f t="shared" si="3"/>
        <v>0</v>
      </c>
      <c r="L51" s="5" t="s">
        <v>28</v>
      </c>
    </row>
    <row r="52" spans="1:12">
      <c r="A52" s="5" t="s">
        <v>109</v>
      </c>
      <c r="B52" s="5" t="s">
        <v>113</v>
      </c>
      <c r="C52" s="6">
        <v>1</v>
      </c>
      <c r="D52" s="7">
        <v>15</v>
      </c>
      <c r="E52" s="7"/>
      <c r="F52" s="5" t="s">
        <v>114</v>
      </c>
      <c r="G52" s="5" t="s">
        <v>49</v>
      </c>
      <c r="H52" s="5" t="s">
        <v>16</v>
      </c>
      <c r="I52" s="7">
        <f t="shared" si="2"/>
        <v>15</v>
      </c>
      <c r="J52" s="8">
        <f>IF(G52="Joia",Parametros!$B$3,IF(G52="Mágico",Parametros!$B$4,Parametros!$B$2))</f>
        <v>0.05</v>
      </c>
      <c r="K52" s="7">
        <f t="shared" si="3"/>
        <v>15.75</v>
      </c>
      <c r="L52" s="5"/>
    </row>
    <row r="53" spans="1:12" ht="28.5">
      <c r="A53" s="5" t="s">
        <v>109</v>
      </c>
      <c r="B53" s="5" t="s">
        <v>115</v>
      </c>
      <c r="C53" s="6">
        <v>1</v>
      </c>
      <c r="D53" s="7">
        <v>15</v>
      </c>
      <c r="E53" s="7"/>
      <c r="F53" s="5" t="s">
        <v>116</v>
      </c>
      <c r="G53" s="5" t="s">
        <v>57</v>
      </c>
      <c r="H53" s="5" t="s">
        <v>16</v>
      </c>
      <c r="I53" s="7">
        <f t="shared" si="2"/>
        <v>15</v>
      </c>
      <c r="J53" s="8">
        <f>IF(G53="Joia",Parametros!$B$3,IF(G53="Mágico",Parametros!$B$4,Parametros!$B$2))</f>
        <v>0.15</v>
      </c>
      <c r="K53" s="7">
        <f t="shared" si="3"/>
        <v>17.25</v>
      </c>
      <c r="L53" s="5" t="s">
        <v>28</v>
      </c>
    </row>
    <row r="54" spans="1:12" ht="28.5">
      <c r="A54" s="5" t="s">
        <v>109</v>
      </c>
      <c r="B54" s="5" t="s">
        <v>117</v>
      </c>
      <c r="C54" s="6">
        <v>1</v>
      </c>
      <c r="D54" s="7"/>
      <c r="E54" s="7">
        <v>50</v>
      </c>
      <c r="F54" s="5" t="s">
        <v>101</v>
      </c>
      <c r="G54" s="5" t="s">
        <v>27</v>
      </c>
      <c r="H54" s="5" t="s">
        <v>22</v>
      </c>
      <c r="I54" s="7">
        <f t="shared" si="2"/>
        <v>50</v>
      </c>
      <c r="J54" s="8">
        <f>IF(G54="Joia",Parametros!$B$3,IF(G54="Mágico",Parametros!$B$4,Parametros!$B$2))</f>
        <v>0.15</v>
      </c>
      <c r="K54" s="7">
        <f t="shared" si="3"/>
        <v>0</v>
      </c>
      <c r="L54" s="5" t="s">
        <v>28</v>
      </c>
    </row>
    <row r="55" spans="1:12" ht="28.5">
      <c r="A55" s="5" t="s">
        <v>109</v>
      </c>
      <c r="B55" s="5" t="s">
        <v>118</v>
      </c>
      <c r="C55" s="6">
        <v>1</v>
      </c>
      <c r="D55" s="7"/>
      <c r="E55" s="7">
        <v>100</v>
      </c>
      <c r="F55" s="5" t="s">
        <v>103</v>
      </c>
      <c r="G55" s="5" t="s">
        <v>27</v>
      </c>
      <c r="H55" s="5" t="s">
        <v>22</v>
      </c>
      <c r="I55" s="7">
        <f t="shared" si="2"/>
        <v>100</v>
      </c>
      <c r="J55" s="8">
        <f>IF(G55="Joia",Parametros!$B$3,IF(G55="Mágico",Parametros!$B$4,Parametros!$B$2))</f>
        <v>0.15</v>
      </c>
      <c r="K55" s="7">
        <f t="shared" si="3"/>
        <v>0</v>
      </c>
      <c r="L55" s="5" t="s">
        <v>28</v>
      </c>
    </row>
    <row r="56" spans="1:12" ht="28.5">
      <c r="A56" s="5" t="s">
        <v>109</v>
      </c>
      <c r="B56" s="5" t="s">
        <v>119</v>
      </c>
      <c r="C56" s="6">
        <v>1</v>
      </c>
      <c r="D56" s="7"/>
      <c r="E56" s="7">
        <v>100</v>
      </c>
      <c r="F56" s="5" t="s">
        <v>103</v>
      </c>
      <c r="G56" s="5" t="s">
        <v>27</v>
      </c>
      <c r="H56" s="5" t="s">
        <v>22</v>
      </c>
      <c r="I56" s="7">
        <f t="shared" si="2"/>
        <v>100</v>
      </c>
      <c r="J56" s="8">
        <f>IF(G56="Joia",Parametros!$B$3,IF(G56="Mágico",Parametros!$B$4,Parametros!$B$2))</f>
        <v>0.15</v>
      </c>
      <c r="K56" s="7">
        <f t="shared" si="3"/>
        <v>0</v>
      </c>
      <c r="L56" s="5" t="s">
        <v>28</v>
      </c>
    </row>
    <row r="57" spans="1:12" ht="28.5">
      <c r="A57" s="5" t="s">
        <v>109</v>
      </c>
      <c r="B57" s="5" t="s">
        <v>120</v>
      </c>
      <c r="C57" s="6">
        <v>1</v>
      </c>
      <c r="D57" s="7"/>
      <c r="E57" s="7">
        <v>100</v>
      </c>
      <c r="F57" s="5" t="s">
        <v>103</v>
      </c>
      <c r="G57" s="5" t="s">
        <v>27</v>
      </c>
      <c r="H57" s="5" t="s">
        <v>22</v>
      </c>
      <c r="I57" s="7">
        <f t="shared" si="2"/>
        <v>100</v>
      </c>
      <c r="J57" s="8">
        <f>IF(G57="Joia",Parametros!$B$3,IF(G57="Mágico",Parametros!$B$4,Parametros!$B$2))</f>
        <v>0.15</v>
      </c>
      <c r="K57" s="7">
        <f t="shared" si="3"/>
        <v>0</v>
      </c>
      <c r="L57" s="5" t="s">
        <v>28</v>
      </c>
    </row>
    <row r="58" spans="1:12">
      <c r="A58" s="5" t="s">
        <v>121</v>
      </c>
      <c r="B58" s="5" t="s">
        <v>122</v>
      </c>
      <c r="C58" s="6">
        <v>1</v>
      </c>
      <c r="D58" s="7">
        <v>50</v>
      </c>
      <c r="E58" s="7"/>
      <c r="F58" s="5" t="s">
        <v>123</v>
      </c>
      <c r="G58" s="5" t="s">
        <v>49</v>
      </c>
      <c r="H58" s="5" t="s">
        <v>16</v>
      </c>
      <c r="I58" s="7">
        <f t="shared" si="2"/>
        <v>50</v>
      </c>
      <c r="J58" s="8">
        <f>IF(G58="Joia",Parametros!$B$3,IF(G58="Mágico",Parametros!$B$4,Parametros!$B$2))</f>
        <v>0.05</v>
      </c>
      <c r="K58" s="7">
        <f t="shared" si="3"/>
        <v>52.5</v>
      </c>
      <c r="L58" s="5"/>
    </row>
    <row r="59" spans="1:12">
      <c r="A59" s="5" t="s">
        <v>121</v>
      </c>
      <c r="B59" s="5" t="s">
        <v>124</v>
      </c>
      <c r="C59" s="6">
        <v>1</v>
      </c>
      <c r="D59" s="7"/>
      <c r="E59" s="7">
        <v>0.2</v>
      </c>
      <c r="F59" s="5" t="s">
        <v>39</v>
      </c>
      <c r="G59" s="5" t="s">
        <v>15</v>
      </c>
      <c r="H59" s="5" t="s">
        <v>16</v>
      </c>
      <c r="I59" s="7">
        <f t="shared" si="2"/>
        <v>0.2</v>
      </c>
      <c r="J59" s="8">
        <f>IF(G59="Joia",Parametros!$B$3,IF(G59="Mágico",Parametros!$B$4,Parametros!$B$2))</f>
        <v>0.15</v>
      </c>
      <c r="K59" s="7">
        <f t="shared" si="3"/>
        <v>0.22999999999999998</v>
      </c>
      <c r="L59" s="5"/>
    </row>
    <row r="60" spans="1:12">
      <c r="A60" s="5" t="s">
        <v>125</v>
      </c>
      <c r="B60" s="5" t="s">
        <v>126</v>
      </c>
      <c r="C60" s="6">
        <v>1</v>
      </c>
      <c r="D60" s="7">
        <v>231</v>
      </c>
      <c r="E60" s="7"/>
      <c r="F60" s="5" t="s">
        <v>24</v>
      </c>
      <c r="G60" s="5" t="s">
        <v>21</v>
      </c>
      <c r="H60" s="5" t="s">
        <v>22</v>
      </c>
      <c r="I60" s="7">
        <f t="shared" si="2"/>
        <v>231</v>
      </c>
      <c r="J60" s="8">
        <f>IF(G60="Joia",Parametros!$B$3,IF(G60="Mágico",Parametros!$B$4,Parametros!$B$2))</f>
        <v>0.15</v>
      </c>
      <c r="K60" s="7">
        <f t="shared" si="3"/>
        <v>0</v>
      </c>
      <c r="L60" s="5"/>
    </row>
    <row r="61" spans="1:12" ht="28.5">
      <c r="A61" s="5" t="s">
        <v>125</v>
      </c>
      <c r="B61" s="5" t="s">
        <v>127</v>
      </c>
      <c r="C61" s="6">
        <v>1</v>
      </c>
      <c r="D61" s="7"/>
      <c r="E61" s="7">
        <v>25</v>
      </c>
      <c r="F61" s="5" t="s">
        <v>128</v>
      </c>
      <c r="G61" s="5" t="s">
        <v>57</v>
      </c>
      <c r="H61" s="5" t="s">
        <v>22</v>
      </c>
      <c r="I61" s="7">
        <f t="shared" si="2"/>
        <v>25</v>
      </c>
      <c r="J61" s="8">
        <f>IF(G61="Joia",Parametros!$B$3,IF(G61="Mágico",Parametros!$B$4,Parametros!$B$2))</f>
        <v>0.15</v>
      </c>
      <c r="K61" s="7">
        <f t="shared" si="3"/>
        <v>0</v>
      </c>
      <c r="L61" s="5" t="s">
        <v>28</v>
      </c>
    </row>
    <row r="62" spans="1:12" ht="28.5">
      <c r="A62" s="5" t="s">
        <v>125</v>
      </c>
      <c r="B62" s="5" t="s">
        <v>129</v>
      </c>
      <c r="C62" s="6">
        <v>1</v>
      </c>
      <c r="D62" s="7"/>
      <c r="E62" s="7">
        <v>0</v>
      </c>
      <c r="F62" s="5" t="s">
        <v>130</v>
      </c>
      <c r="G62" s="5" t="s">
        <v>57</v>
      </c>
      <c r="H62" s="5" t="s">
        <v>16</v>
      </c>
      <c r="I62" s="7">
        <f t="shared" si="2"/>
        <v>0</v>
      </c>
      <c r="J62" s="8">
        <f>IF(G62="Joia",Parametros!$B$3,IF(G62="Mágico",Parametros!$B$4,Parametros!$B$2))</f>
        <v>0.15</v>
      </c>
      <c r="K62" s="7">
        <f t="shared" si="3"/>
        <v>0</v>
      </c>
      <c r="L62" s="5" t="s">
        <v>28</v>
      </c>
    </row>
    <row r="63" spans="1:12">
      <c r="A63" s="5" t="s">
        <v>125</v>
      </c>
      <c r="B63" s="5" t="s">
        <v>131</v>
      </c>
      <c r="C63" s="6">
        <v>1</v>
      </c>
      <c r="D63" s="7">
        <v>40</v>
      </c>
      <c r="E63" s="7"/>
      <c r="F63" s="5" t="s">
        <v>24</v>
      </c>
      <c r="G63" s="5" t="s">
        <v>49</v>
      </c>
      <c r="H63" s="5" t="s">
        <v>16</v>
      </c>
      <c r="I63" s="7">
        <f t="shared" si="2"/>
        <v>40</v>
      </c>
      <c r="J63" s="8">
        <f>IF(G63="Joia",Parametros!$B$3,IF(G63="Mágico",Parametros!$B$4,Parametros!$B$2))</f>
        <v>0.05</v>
      </c>
      <c r="K63" s="7">
        <f t="shared" si="3"/>
        <v>42</v>
      </c>
      <c r="L63" s="5"/>
    </row>
    <row r="64" spans="1:12">
      <c r="A64" s="5" t="s">
        <v>125</v>
      </c>
      <c r="B64" s="5" t="s">
        <v>132</v>
      </c>
      <c r="C64" s="6">
        <v>1</v>
      </c>
      <c r="D64" s="7">
        <v>50</v>
      </c>
      <c r="E64" s="7"/>
      <c r="F64" s="5" t="s">
        <v>24</v>
      </c>
      <c r="G64" s="5" t="s">
        <v>49</v>
      </c>
      <c r="H64" s="5" t="s">
        <v>16</v>
      </c>
      <c r="I64" s="7">
        <f t="shared" si="2"/>
        <v>50</v>
      </c>
      <c r="J64" s="8">
        <f>IF(G64="Joia",Parametros!$B$3,IF(G64="Mágico",Parametros!$B$4,Parametros!$B$2))</f>
        <v>0.05</v>
      </c>
      <c r="K64" s="7">
        <f t="shared" si="3"/>
        <v>52.5</v>
      </c>
      <c r="L64" s="5"/>
    </row>
    <row r="65" spans="1:12">
      <c r="A65" s="5" t="s">
        <v>125</v>
      </c>
      <c r="B65" s="5" t="s">
        <v>133</v>
      </c>
      <c r="C65" s="6">
        <v>1</v>
      </c>
      <c r="D65" s="7">
        <v>60</v>
      </c>
      <c r="E65" s="7"/>
      <c r="F65" s="5" t="s">
        <v>134</v>
      </c>
      <c r="G65" s="5" t="s">
        <v>49</v>
      </c>
      <c r="H65" s="5" t="s">
        <v>16</v>
      </c>
      <c r="I65" s="7">
        <f t="shared" ref="I65:I95" si="4">IF(D65&lt;&gt;"",D65,IF(E65&lt;&gt;"",E65,0))</f>
        <v>60</v>
      </c>
      <c r="J65" s="8">
        <f>IF(G65="Joia",Parametros!$B$3,IF(G65="Mágico",Parametros!$B$4,Parametros!$B$2))</f>
        <v>0.05</v>
      </c>
      <c r="K65" s="7">
        <f t="shared" ref="K65:K95" si="5">IF(H65="Sim",I65*(1+J65),0)</f>
        <v>63</v>
      </c>
      <c r="L65" s="5"/>
    </row>
    <row r="66" spans="1:12" ht="28.5">
      <c r="A66" s="5" t="s">
        <v>125</v>
      </c>
      <c r="B66" s="5" t="s">
        <v>135</v>
      </c>
      <c r="C66" s="6">
        <v>1</v>
      </c>
      <c r="D66" s="7"/>
      <c r="E66" s="7">
        <v>50</v>
      </c>
      <c r="F66" s="5" t="s">
        <v>101</v>
      </c>
      <c r="G66" s="5" t="s">
        <v>27</v>
      </c>
      <c r="H66" s="5" t="s">
        <v>22</v>
      </c>
      <c r="I66" s="7">
        <f t="shared" si="4"/>
        <v>50</v>
      </c>
      <c r="J66" s="8">
        <f>IF(G66="Joia",Parametros!$B$3,IF(G66="Mágico",Parametros!$B$4,Parametros!$B$2))</f>
        <v>0.15</v>
      </c>
      <c r="K66" s="7">
        <f t="shared" si="5"/>
        <v>0</v>
      </c>
      <c r="L66" s="5" t="s">
        <v>28</v>
      </c>
    </row>
    <row r="67" spans="1:12" ht="28.5">
      <c r="A67" s="5" t="s">
        <v>125</v>
      </c>
      <c r="B67" s="5" t="s">
        <v>136</v>
      </c>
      <c r="C67" s="6">
        <v>1</v>
      </c>
      <c r="D67" s="7"/>
      <c r="E67" s="7">
        <v>50</v>
      </c>
      <c r="F67" s="5" t="s">
        <v>101</v>
      </c>
      <c r="G67" s="5" t="s">
        <v>27</v>
      </c>
      <c r="H67" s="5" t="s">
        <v>22</v>
      </c>
      <c r="I67" s="7">
        <f t="shared" si="4"/>
        <v>50</v>
      </c>
      <c r="J67" s="8">
        <f>IF(G67="Joia",Parametros!$B$3,IF(G67="Mágico",Parametros!$B$4,Parametros!$B$2))</f>
        <v>0.15</v>
      </c>
      <c r="K67" s="7">
        <f t="shared" si="5"/>
        <v>0</v>
      </c>
      <c r="L67" s="5" t="s">
        <v>28</v>
      </c>
    </row>
    <row r="68" spans="1:12" ht="28.5">
      <c r="A68" s="5" t="s">
        <v>125</v>
      </c>
      <c r="B68" s="5" t="s">
        <v>137</v>
      </c>
      <c r="C68" s="6">
        <v>1</v>
      </c>
      <c r="D68" s="7"/>
      <c r="E68" s="7">
        <v>50</v>
      </c>
      <c r="F68" s="5" t="s">
        <v>138</v>
      </c>
      <c r="G68" s="5" t="s">
        <v>27</v>
      </c>
      <c r="H68" s="5" t="s">
        <v>22</v>
      </c>
      <c r="I68" s="7">
        <f t="shared" si="4"/>
        <v>50</v>
      </c>
      <c r="J68" s="8">
        <f>IF(G68="Joia",Parametros!$B$3,IF(G68="Mágico",Parametros!$B$4,Parametros!$B$2))</f>
        <v>0.15</v>
      </c>
      <c r="K68" s="7">
        <f t="shared" si="5"/>
        <v>0</v>
      </c>
      <c r="L68" s="5" t="s">
        <v>28</v>
      </c>
    </row>
    <row r="69" spans="1:12">
      <c r="A69" s="5" t="s">
        <v>139</v>
      </c>
      <c r="B69" s="5" t="s">
        <v>140</v>
      </c>
      <c r="C69" s="6">
        <v>1</v>
      </c>
      <c r="D69" s="7">
        <v>5</v>
      </c>
      <c r="E69" s="7"/>
      <c r="F69" s="5" t="s">
        <v>24</v>
      </c>
      <c r="G69" s="5" t="s">
        <v>15</v>
      </c>
      <c r="H69" s="5" t="s">
        <v>22</v>
      </c>
      <c r="I69" s="7">
        <f t="shared" si="4"/>
        <v>5</v>
      </c>
      <c r="J69" s="8">
        <f>IF(G69="Joia",Parametros!$B$3,IF(G69="Mágico",Parametros!$B$4,Parametros!$B$2))</f>
        <v>0.15</v>
      </c>
      <c r="K69" s="7">
        <f t="shared" si="5"/>
        <v>0</v>
      </c>
      <c r="L69" s="5"/>
    </row>
    <row r="70" spans="1:12" ht="28.5">
      <c r="A70" s="5" t="s">
        <v>139</v>
      </c>
      <c r="B70" s="5" t="s">
        <v>141</v>
      </c>
      <c r="C70" s="6">
        <v>1</v>
      </c>
      <c r="D70" s="7">
        <v>30</v>
      </c>
      <c r="E70" s="7"/>
      <c r="F70" s="5" t="s">
        <v>24</v>
      </c>
      <c r="G70" s="5" t="s">
        <v>73</v>
      </c>
      <c r="H70" s="5" t="s">
        <v>16</v>
      </c>
      <c r="I70" s="7">
        <f t="shared" si="4"/>
        <v>30</v>
      </c>
      <c r="J70" s="8">
        <f>IF(G70="Joia",Parametros!$B$3,IF(G70="Mágico",Parametros!$B$4,Parametros!$B$2))</f>
        <v>0.15</v>
      </c>
      <c r="K70" s="7">
        <f t="shared" si="5"/>
        <v>34.5</v>
      </c>
      <c r="L70" s="5"/>
    </row>
    <row r="71" spans="1:12" ht="28.5">
      <c r="A71" s="5" t="s">
        <v>139</v>
      </c>
      <c r="B71" s="5" t="s">
        <v>142</v>
      </c>
      <c r="C71" s="6">
        <v>1</v>
      </c>
      <c r="D71" s="7"/>
      <c r="E71" s="7">
        <v>45</v>
      </c>
      <c r="F71" s="5" t="s">
        <v>14</v>
      </c>
      <c r="G71" s="5" t="s">
        <v>143</v>
      </c>
      <c r="H71" s="5" t="s">
        <v>16</v>
      </c>
      <c r="I71" s="7">
        <f t="shared" si="4"/>
        <v>45</v>
      </c>
      <c r="J71" s="8">
        <f>IF(G71="Joia",Parametros!$B$3,IF(G71="Mágico",Parametros!$B$4,Parametros!$B$2))</f>
        <v>0.15</v>
      </c>
      <c r="K71" s="7">
        <f t="shared" si="5"/>
        <v>51.749999999999993</v>
      </c>
      <c r="L71" s="5" t="s">
        <v>28</v>
      </c>
    </row>
    <row r="72" spans="1:12">
      <c r="A72" s="5" t="s">
        <v>144</v>
      </c>
      <c r="B72" s="5" t="s">
        <v>145</v>
      </c>
      <c r="C72" s="6">
        <v>1</v>
      </c>
      <c r="D72" s="7">
        <v>54</v>
      </c>
      <c r="E72" s="7"/>
      <c r="F72" s="5" t="s">
        <v>24</v>
      </c>
      <c r="G72" s="5" t="s">
        <v>21</v>
      </c>
      <c r="H72" s="5" t="s">
        <v>22</v>
      </c>
      <c r="I72" s="7">
        <f t="shared" si="4"/>
        <v>54</v>
      </c>
      <c r="J72" s="8">
        <f>IF(G72="Joia",Parametros!$B$3,IF(G72="Mágico",Parametros!$B$4,Parametros!$B$2))</f>
        <v>0.15</v>
      </c>
      <c r="K72" s="7">
        <f t="shared" si="5"/>
        <v>0</v>
      </c>
      <c r="L72" s="5"/>
    </row>
    <row r="73" spans="1:12">
      <c r="A73" s="5" t="s">
        <v>144</v>
      </c>
      <c r="B73" s="5" t="s">
        <v>146</v>
      </c>
      <c r="C73" s="6">
        <v>1</v>
      </c>
      <c r="D73" s="7">
        <v>24.1</v>
      </c>
      <c r="E73" s="7"/>
      <c r="F73" s="5" t="s">
        <v>147</v>
      </c>
      <c r="G73" s="5" t="s">
        <v>21</v>
      </c>
      <c r="H73" s="5" t="s">
        <v>22</v>
      </c>
      <c r="I73" s="7">
        <f t="shared" si="4"/>
        <v>24.1</v>
      </c>
      <c r="J73" s="8">
        <f>IF(G73="Joia",Parametros!$B$3,IF(G73="Mágico",Parametros!$B$4,Parametros!$B$2))</f>
        <v>0.15</v>
      </c>
      <c r="K73" s="7">
        <f t="shared" si="5"/>
        <v>0</v>
      </c>
      <c r="L73" s="5"/>
    </row>
    <row r="74" spans="1:12">
      <c r="A74" s="5" t="s">
        <v>144</v>
      </c>
      <c r="B74" s="5" t="s">
        <v>148</v>
      </c>
      <c r="C74" s="6">
        <v>1</v>
      </c>
      <c r="D74" s="7"/>
      <c r="E74" s="7">
        <v>15</v>
      </c>
      <c r="F74" s="5" t="s">
        <v>14</v>
      </c>
      <c r="G74" s="5" t="s">
        <v>15</v>
      </c>
      <c r="H74" s="5" t="s">
        <v>16</v>
      </c>
      <c r="I74" s="7">
        <f t="shared" si="4"/>
        <v>15</v>
      </c>
      <c r="J74" s="8">
        <f>IF(G74="Joia",Parametros!$B$3,IF(G74="Mágico",Parametros!$B$4,Parametros!$B$2))</f>
        <v>0.15</v>
      </c>
      <c r="K74" s="7">
        <f t="shared" si="5"/>
        <v>17.25</v>
      </c>
      <c r="L74" s="5"/>
    </row>
    <row r="75" spans="1:12">
      <c r="A75" s="5" t="s">
        <v>144</v>
      </c>
      <c r="B75" s="5" t="s">
        <v>149</v>
      </c>
      <c r="C75" s="6">
        <v>1</v>
      </c>
      <c r="D75" s="7"/>
      <c r="E75" s="7">
        <v>2</v>
      </c>
      <c r="F75" s="5" t="s">
        <v>150</v>
      </c>
      <c r="G75" s="5" t="s">
        <v>15</v>
      </c>
      <c r="H75" s="5" t="s">
        <v>16</v>
      </c>
      <c r="I75" s="7">
        <f t="shared" si="4"/>
        <v>2</v>
      </c>
      <c r="J75" s="8">
        <f>IF(G75="Joia",Parametros!$B$3,IF(G75="Mágico",Parametros!$B$4,Parametros!$B$2))</f>
        <v>0.15</v>
      </c>
      <c r="K75" s="7">
        <f t="shared" si="5"/>
        <v>2.2999999999999998</v>
      </c>
      <c r="L75" s="5"/>
    </row>
    <row r="76" spans="1:12">
      <c r="A76" s="5" t="s">
        <v>144</v>
      </c>
      <c r="B76" s="5" t="s">
        <v>151</v>
      </c>
      <c r="C76" s="6">
        <v>1</v>
      </c>
      <c r="D76" s="7"/>
      <c r="E76" s="7">
        <v>3</v>
      </c>
      <c r="F76" s="5" t="s">
        <v>152</v>
      </c>
      <c r="G76" s="5" t="s">
        <v>15</v>
      </c>
      <c r="H76" s="5" t="s">
        <v>16</v>
      </c>
      <c r="I76" s="7">
        <f t="shared" si="4"/>
        <v>3</v>
      </c>
      <c r="J76" s="8">
        <f>IF(G76="Joia",Parametros!$B$3,IF(G76="Mágico",Parametros!$B$4,Parametros!$B$2))</f>
        <v>0.15</v>
      </c>
      <c r="K76" s="7">
        <f t="shared" si="5"/>
        <v>3.4499999999999997</v>
      </c>
      <c r="L76" s="5"/>
    </row>
    <row r="77" spans="1:12">
      <c r="A77" s="5" t="s">
        <v>144</v>
      </c>
      <c r="B77" s="5" t="s">
        <v>153</v>
      </c>
      <c r="C77" s="6">
        <v>1</v>
      </c>
      <c r="D77" s="7"/>
      <c r="E77" s="7">
        <v>15</v>
      </c>
      <c r="F77" s="5" t="s">
        <v>14</v>
      </c>
      <c r="G77" s="5" t="s">
        <v>15</v>
      </c>
      <c r="H77" s="5" t="s">
        <v>16</v>
      </c>
      <c r="I77" s="7">
        <f t="shared" si="4"/>
        <v>15</v>
      </c>
      <c r="J77" s="8">
        <f>IF(G77="Joia",Parametros!$B$3,IF(G77="Mágico",Parametros!$B$4,Parametros!$B$2))</f>
        <v>0.15</v>
      </c>
      <c r="K77" s="7">
        <f t="shared" si="5"/>
        <v>17.25</v>
      </c>
      <c r="L77" s="5"/>
    </row>
    <row r="78" spans="1:12">
      <c r="A78" s="5" t="s">
        <v>144</v>
      </c>
      <c r="B78" s="5" t="s">
        <v>154</v>
      </c>
      <c r="C78" s="6">
        <v>1</v>
      </c>
      <c r="D78" s="7"/>
      <c r="E78" s="7">
        <v>50</v>
      </c>
      <c r="F78" s="5" t="s">
        <v>14</v>
      </c>
      <c r="G78" s="5" t="s">
        <v>15</v>
      </c>
      <c r="H78" s="5" t="s">
        <v>16</v>
      </c>
      <c r="I78" s="7">
        <f t="shared" si="4"/>
        <v>50</v>
      </c>
      <c r="J78" s="8">
        <f>IF(G78="Joia",Parametros!$B$3,IF(G78="Mágico",Parametros!$B$4,Parametros!$B$2))</f>
        <v>0.15</v>
      </c>
      <c r="K78" s="7">
        <f t="shared" si="5"/>
        <v>57.499999999999993</v>
      </c>
      <c r="L78" s="5"/>
    </row>
    <row r="79" spans="1:12" ht="28.5">
      <c r="A79" s="5" t="s">
        <v>155</v>
      </c>
      <c r="B79" s="5" t="s">
        <v>156</v>
      </c>
      <c r="C79" s="6">
        <v>1</v>
      </c>
      <c r="D79" s="7"/>
      <c r="E79" s="7">
        <v>2</v>
      </c>
      <c r="F79" s="5" t="s">
        <v>157</v>
      </c>
      <c r="G79" s="5" t="s">
        <v>143</v>
      </c>
      <c r="H79" s="5" t="s">
        <v>22</v>
      </c>
      <c r="I79" s="7">
        <f t="shared" si="4"/>
        <v>2</v>
      </c>
      <c r="J79" s="8">
        <f>IF(G79="Joia",Parametros!$B$3,IF(G79="Mágico",Parametros!$B$4,Parametros!$B$2))</f>
        <v>0.15</v>
      </c>
      <c r="K79" s="7">
        <f t="shared" si="5"/>
        <v>0</v>
      </c>
      <c r="L79" s="5" t="s">
        <v>28</v>
      </c>
    </row>
    <row r="80" spans="1:12" ht="28.5">
      <c r="A80" s="5" t="s">
        <v>155</v>
      </c>
      <c r="B80" s="5" t="s">
        <v>158</v>
      </c>
      <c r="C80" s="6">
        <v>1</v>
      </c>
      <c r="D80" s="7"/>
      <c r="E80" s="7">
        <v>5</v>
      </c>
      <c r="F80" s="5" t="s">
        <v>159</v>
      </c>
      <c r="G80" s="5" t="s">
        <v>32</v>
      </c>
      <c r="H80" s="5" t="s">
        <v>22</v>
      </c>
      <c r="I80" s="7">
        <f t="shared" si="4"/>
        <v>5</v>
      </c>
      <c r="J80" s="8">
        <f>IF(G80="Joia",Parametros!$B$3,IF(G80="Mágico",Parametros!$B$4,Parametros!$B$2))</f>
        <v>0.15</v>
      </c>
      <c r="K80" s="7">
        <f t="shared" si="5"/>
        <v>0</v>
      </c>
      <c r="L80" s="5" t="s">
        <v>28</v>
      </c>
    </row>
    <row r="81" spans="1:12">
      <c r="A81" s="5" t="s">
        <v>160</v>
      </c>
      <c r="B81" s="5" t="s">
        <v>161</v>
      </c>
      <c r="C81" s="6">
        <v>1</v>
      </c>
      <c r="D81" s="7"/>
      <c r="E81" s="7">
        <v>20</v>
      </c>
      <c r="F81" s="5" t="s">
        <v>14</v>
      </c>
      <c r="G81" s="5" t="s">
        <v>15</v>
      </c>
      <c r="H81" s="5" t="s">
        <v>16</v>
      </c>
      <c r="I81" s="7">
        <f t="shared" si="4"/>
        <v>20</v>
      </c>
      <c r="J81" s="8">
        <f>IF(G81="Joia",Parametros!$B$3,IF(G81="Mágico",Parametros!$B$4,Parametros!$B$2))</f>
        <v>0.15</v>
      </c>
      <c r="K81" s="7">
        <f t="shared" si="5"/>
        <v>23</v>
      </c>
      <c r="L81" s="5"/>
    </row>
    <row r="82" spans="1:12">
      <c r="A82" s="5" t="s">
        <v>162</v>
      </c>
      <c r="B82" s="5" t="s">
        <v>163</v>
      </c>
      <c r="C82" s="6">
        <v>1</v>
      </c>
      <c r="D82" s="7">
        <v>34</v>
      </c>
      <c r="E82" s="7"/>
      <c r="F82" s="5" t="s">
        <v>24</v>
      </c>
      <c r="G82" s="5" t="s">
        <v>21</v>
      </c>
      <c r="H82" s="5" t="s">
        <v>22</v>
      </c>
      <c r="I82" s="7">
        <f t="shared" si="4"/>
        <v>34</v>
      </c>
      <c r="J82" s="8">
        <f>IF(G82="Joia",Parametros!$B$3,IF(G82="Mágico",Parametros!$B$4,Parametros!$B$2))</f>
        <v>0.15</v>
      </c>
      <c r="K82" s="7">
        <f t="shared" si="5"/>
        <v>0</v>
      </c>
      <c r="L82" s="5"/>
    </row>
    <row r="83" spans="1:12" ht="28.5">
      <c r="A83" s="5" t="s">
        <v>162</v>
      </c>
      <c r="B83" s="5" t="s">
        <v>164</v>
      </c>
      <c r="C83" s="6">
        <v>1</v>
      </c>
      <c r="D83" s="7"/>
      <c r="E83" s="7">
        <v>100</v>
      </c>
      <c r="F83" s="5" t="s">
        <v>165</v>
      </c>
      <c r="G83" s="5" t="s">
        <v>166</v>
      </c>
      <c r="H83" s="5" t="s">
        <v>22</v>
      </c>
      <c r="I83" s="7">
        <f t="shared" si="4"/>
        <v>100</v>
      </c>
      <c r="J83" s="8">
        <f>IF(G83="Joia",Parametros!$B$3,IF(G83="Mágico",Parametros!$B$4,Parametros!$B$2))</f>
        <v>0.15</v>
      </c>
      <c r="K83" s="7">
        <f t="shared" si="5"/>
        <v>0</v>
      </c>
      <c r="L83" s="5" t="s">
        <v>28</v>
      </c>
    </row>
    <row r="84" spans="1:12" ht="28.5">
      <c r="A84" s="5" t="s">
        <v>167</v>
      </c>
      <c r="B84" s="5" t="s">
        <v>168</v>
      </c>
      <c r="C84" s="6">
        <v>1</v>
      </c>
      <c r="D84" s="7"/>
      <c r="E84" s="7">
        <v>100</v>
      </c>
      <c r="F84" s="5" t="s">
        <v>103</v>
      </c>
      <c r="G84" s="5" t="s">
        <v>27</v>
      </c>
      <c r="H84" s="5" t="s">
        <v>22</v>
      </c>
      <c r="I84" s="7">
        <f t="shared" si="4"/>
        <v>100</v>
      </c>
      <c r="J84" s="8">
        <f>IF(G84="Joia",Parametros!$B$3,IF(G84="Mágico",Parametros!$B$4,Parametros!$B$2))</f>
        <v>0.15</v>
      </c>
      <c r="K84" s="7">
        <f t="shared" si="5"/>
        <v>0</v>
      </c>
      <c r="L84" s="5" t="s">
        <v>28</v>
      </c>
    </row>
    <row r="85" spans="1:12" ht="28.5">
      <c r="A85" s="5" t="s">
        <v>167</v>
      </c>
      <c r="B85" s="5" t="s">
        <v>169</v>
      </c>
      <c r="C85" s="6">
        <v>1</v>
      </c>
      <c r="D85" s="7"/>
      <c r="E85" s="7">
        <v>100</v>
      </c>
      <c r="F85" s="5" t="s">
        <v>103</v>
      </c>
      <c r="G85" s="5" t="s">
        <v>27</v>
      </c>
      <c r="H85" s="5" t="s">
        <v>22</v>
      </c>
      <c r="I85" s="7">
        <f t="shared" si="4"/>
        <v>100</v>
      </c>
      <c r="J85" s="8">
        <f>IF(G85="Joia",Parametros!$B$3,IF(G85="Mágico",Parametros!$B$4,Parametros!$B$2))</f>
        <v>0.15</v>
      </c>
      <c r="K85" s="7">
        <f t="shared" si="5"/>
        <v>0</v>
      </c>
      <c r="L85" s="5" t="s">
        <v>28</v>
      </c>
    </row>
    <row r="86" spans="1:12">
      <c r="A86" s="5" t="s">
        <v>167</v>
      </c>
      <c r="B86" s="5" t="s">
        <v>170</v>
      </c>
      <c r="C86" s="6">
        <v>1</v>
      </c>
      <c r="D86" s="7">
        <v>150</v>
      </c>
      <c r="E86" s="7"/>
      <c r="F86" s="5" t="s">
        <v>24</v>
      </c>
      <c r="G86" s="5" t="s">
        <v>73</v>
      </c>
      <c r="H86" s="5" t="s">
        <v>16</v>
      </c>
      <c r="I86" s="7">
        <f t="shared" si="4"/>
        <v>150</v>
      </c>
      <c r="J86" s="8">
        <f>IF(G86="Joia",Parametros!$B$3,IF(G86="Mágico",Parametros!$B$4,Parametros!$B$2))</f>
        <v>0.15</v>
      </c>
      <c r="K86" s="7">
        <f t="shared" si="5"/>
        <v>172.5</v>
      </c>
      <c r="L86" s="5"/>
    </row>
    <row r="87" spans="1:12">
      <c r="A87" s="5" t="s">
        <v>171</v>
      </c>
      <c r="B87" s="5" t="s">
        <v>172</v>
      </c>
      <c r="C87" s="6">
        <v>1</v>
      </c>
      <c r="D87" s="7">
        <v>365</v>
      </c>
      <c r="E87" s="7"/>
      <c r="F87" s="5" t="s">
        <v>24</v>
      </c>
      <c r="G87" s="5" t="s">
        <v>21</v>
      </c>
      <c r="H87" s="5" t="s">
        <v>22</v>
      </c>
      <c r="I87" s="7">
        <f t="shared" si="4"/>
        <v>365</v>
      </c>
      <c r="J87" s="8">
        <f>IF(G87="Joia",Parametros!$B$3,IF(G87="Mágico",Parametros!$B$4,Parametros!$B$2))</f>
        <v>0.15</v>
      </c>
      <c r="K87" s="7">
        <f t="shared" si="5"/>
        <v>0</v>
      </c>
      <c r="L87" s="5"/>
    </row>
    <row r="88" spans="1:12">
      <c r="A88" s="5" t="s">
        <v>171</v>
      </c>
      <c r="B88" s="5" t="s">
        <v>173</v>
      </c>
      <c r="C88" s="6">
        <v>1</v>
      </c>
      <c r="D88" s="7">
        <v>150</v>
      </c>
      <c r="E88" s="7"/>
      <c r="F88" s="5" t="s">
        <v>24</v>
      </c>
      <c r="G88" s="5" t="s">
        <v>73</v>
      </c>
      <c r="H88" s="5" t="s">
        <v>16</v>
      </c>
      <c r="I88" s="7">
        <f t="shared" si="4"/>
        <v>150</v>
      </c>
      <c r="J88" s="8">
        <f>IF(G88="Joia",Parametros!$B$3,IF(G88="Mágico",Parametros!$B$4,Parametros!$B$2))</f>
        <v>0.15</v>
      </c>
      <c r="K88" s="7">
        <f t="shared" si="5"/>
        <v>172.5</v>
      </c>
      <c r="L88" s="5"/>
    </row>
    <row r="89" spans="1:12">
      <c r="A89" s="5" t="s">
        <v>175</v>
      </c>
      <c r="B89" s="5" t="s">
        <v>176</v>
      </c>
      <c r="C89" s="6">
        <v>1</v>
      </c>
      <c r="D89" s="7">
        <v>110</v>
      </c>
      <c r="E89" s="7"/>
      <c r="F89" s="5" t="s">
        <v>24</v>
      </c>
      <c r="G89" s="5" t="s">
        <v>21</v>
      </c>
      <c r="H89" s="5" t="s">
        <v>22</v>
      </c>
      <c r="I89" s="7">
        <f t="shared" si="4"/>
        <v>110</v>
      </c>
      <c r="J89" s="8">
        <f>IF(G89="Joia",Parametros!$B$3,IF(G89="Mágico",Parametros!$B$4,Parametros!$B$2))</f>
        <v>0.15</v>
      </c>
      <c r="K89" s="7">
        <f t="shared" si="5"/>
        <v>0</v>
      </c>
      <c r="L89" s="5"/>
    </row>
    <row r="90" spans="1:12" ht="28.5">
      <c r="A90" s="5" t="s">
        <v>175</v>
      </c>
      <c r="B90" s="5" t="s">
        <v>177</v>
      </c>
      <c r="C90" s="6">
        <v>1</v>
      </c>
      <c r="D90" s="7"/>
      <c r="E90" s="7">
        <v>500</v>
      </c>
      <c r="F90" s="5" t="s">
        <v>99</v>
      </c>
      <c r="G90" s="5" t="s">
        <v>27</v>
      </c>
      <c r="H90" s="5" t="s">
        <v>22</v>
      </c>
      <c r="I90" s="7">
        <f t="shared" si="4"/>
        <v>500</v>
      </c>
      <c r="J90" s="8">
        <f>IF(G90="Joia",Parametros!$B$3,IF(G90="Mágico",Parametros!$B$4,Parametros!$B$2))</f>
        <v>0.15</v>
      </c>
      <c r="K90" s="7">
        <f t="shared" si="5"/>
        <v>0</v>
      </c>
      <c r="L90" s="5" t="s">
        <v>28</v>
      </c>
    </row>
    <row r="91" spans="1:12" ht="28.5">
      <c r="A91" s="5" t="s">
        <v>175</v>
      </c>
      <c r="B91" s="5" t="s">
        <v>178</v>
      </c>
      <c r="C91" s="6">
        <v>1</v>
      </c>
      <c r="D91" s="7"/>
      <c r="E91" s="7">
        <v>0</v>
      </c>
      <c r="F91" s="5" t="s">
        <v>179</v>
      </c>
      <c r="G91" s="5" t="s">
        <v>57</v>
      </c>
      <c r="H91" s="5" t="s">
        <v>16</v>
      </c>
      <c r="I91" s="7">
        <f t="shared" si="4"/>
        <v>0</v>
      </c>
      <c r="J91" s="8">
        <f>IF(G91="Joia",Parametros!$B$3,IF(G91="Mágico",Parametros!$B$4,Parametros!$B$2))</f>
        <v>0.15</v>
      </c>
      <c r="K91" s="7">
        <f t="shared" si="5"/>
        <v>0</v>
      </c>
      <c r="L91" s="5" t="s">
        <v>28</v>
      </c>
    </row>
    <row r="92" spans="1:12" ht="28.5">
      <c r="A92" s="5" t="s">
        <v>175</v>
      </c>
      <c r="B92" s="5" t="s">
        <v>180</v>
      </c>
      <c r="C92" s="6">
        <v>1</v>
      </c>
      <c r="D92" s="7"/>
      <c r="E92" s="7">
        <v>50</v>
      </c>
      <c r="F92" s="5" t="s">
        <v>181</v>
      </c>
      <c r="G92" s="5" t="s">
        <v>57</v>
      </c>
      <c r="H92" s="5" t="s">
        <v>16</v>
      </c>
      <c r="I92" s="7">
        <f t="shared" si="4"/>
        <v>50</v>
      </c>
      <c r="J92" s="8">
        <f>IF(G92="Joia",Parametros!$B$3,IF(G92="Mágico",Parametros!$B$4,Parametros!$B$2))</f>
        <v>0.15</v>
      </c>
      <c r="K92" s="7">
        <f t="shared" si="5"/>
        <v>57.499999999999993</v>
      </c>
      <c r="L92" s="5" t="s">
        <v>28</v>
      </c>
    </row>
    <row r="93" spans="1:12">
      <c r="A93" s="5" t="s">
        <v>175</v>
      </c>
      <c r="B93" s="5" t="s">
        <v>182</v>
      </c>
      <c r="C93" s="6">
        <v>1</v>
      </c>
      <c r="D93" s="7"/>
      <c r="E93" s="7">
        <v>300</v>
      </c>
      <c r="F93" s="5" t="s">
        <v>183</v>
      </c>
      <c r="G93" s="5" t="s">
        <v>49</v>
      </c>
      <c r="H93" s="5" t="s">
        <v>22</v>
      </c>
      <c r="I93" s="7">
        <f t="shared" si="4"/>
        <v>300</v>
      </c>
      <c r="J93" s="8">
        <f>IF(G93="Joia",Parametros!$B$3,IF(G93="Mágico",Parametros!$B$4,Parametros!$B$2))</f>
        <v>0.05</v>
      </c>
      <c r="K93" s="7">
        <f t="shared" si="5"/>
        <v>0</v>
      </c>
      <c r="L93" s="5"/>
    </row>
    <row r="94" spans="1:12" ht="28.5">
      <c r="A94" s="5" t="s">
        <v>175</v>
      </c>
      <c r="B94" s="5" t="s">
        <v>184</v>
      </c>
      <c r="C94" s="6">
        <v>1</v>
      </c>
      <c r="D94" s="7"/>
      <c r="E94" s="7">
        <v>1000</v>
      </c>
      <c r="F94" s="5" t="s">
        <v>185</v>
      </c>
      <c r="G94" s="5" t="s">
        <v>57</v>
      </c>
      <c r="H94" s="5" t="s">
        <v>22</v>
      </c>
      <c r="I94" s="7">
        <f t="shared" si="4"/>
        <v>1000</v>
      </c>
      <c r="J94" s="8">
        <f>IF(G94="Joia",Parametros!$B$3,IF(G94="Mágico",Parametros!$B$4,Parametros!$B$2))</f>
        <v>0.15</v>
      </c>
      <c r="K94" s="7">
        <f t="shared" si="5"/>
        <v>0</v>
      </c>
      <c r="L94" s="5" t="s">
        <v>28</v>
      </c>
    </row>
    <row r="95" spans="1:12" ht="28.5">
      <c r="A95" s="5" t="s">
        <v>175</v>
      </c>
      <c r="B95" s="5" t="s">
        <v>186</v>
      </c>
      <c r="C95" s="6">
        <v>1</v>
      </c>
      <c r="D95" s="7"/>
      <c r="E95" s="7">
        <v>150</v>
      </c>
      <c r="F95" s="5" t="s">
        <v>187</v>
      </c>
      <c r="G95" s="5" t="s">
        <v>27</v>
      </c>
      <c r="H95" s="5" t="s">
        <v>22</v>
      </c>
      <c r="I95" s="7">
        <f t="shared" si="4"/>
        <v>150</v>
      </c>
      <c r="J95" s="8">
        <f>IF(G95="Joia",Parametros!$B$3,IF(G95="Mágico",Parametros!$B$4,Parametros!$B$2))</f>
        <v>0.15</v>
      </c>
      <c r="K95" s="7">
        <f t="shared" si="5"/>
        <v>0</v>
      </c>
      <c r="L95" s="5" t="s">
        <v>28</v>
      </c>
    </row>
    <row r="96" spans="1:12" ht="28.5">
      <c r="A96" s="5" t="s">
        <v>175</v>
      </c>
      <c r="B96" s="5" t="s">
        <v>188</v>
      </c>
      <c r="C96" s="6">
        <v>1</v>
      </c>
      <c r="D96" s="7"/>
      <c r="E96" s="7">
        <v>100</v>
      </c>
      <c r="F96" s="5" t="s">
        <v>189</v>
      </c>
      <c r="G96" s="5" t="s">
        <v>166</v>
      </c>
      <c r="H96" s="5" t="s">
        <v>22</v>
      </c>
      <c r="I96" s="7">
        <f t="shared" ref="I96:I98" si="6">IF(D96&lt;&gt;"",D96,IF(E96&lt;&gt;"",E96,0))</f>
        <v>100</v>
      </c>
      <c r="J96" s="8">
        <f>IF(G96="Joia",Parametros!$B$3,IF(G96="Mágico",Parametros!$B$4,Parametros!$B$2))</f>
        <v>0.15</v>
      </c>
      <c r="K96" s="7">
        <f t="shared" ref="K96:K98" si="7">IF(H96="Sim",I96*(1+J96),0)</f>
        <v>0</v>
      </c>
      <c r="L96" s="5" t="s">
        <v>28</v>
      </c>
    </row>
    <row r="97" spans="1:12">
      <c r="A97" s="5" t="s">
        <v>191</v>
      </c>
      <c r="B97" s="5" t="s">
        <v>192</v>
      </c>
      <c r="C97" s="6">
        <v>1</v>
      </c>
      <c r="D97" s="7">
        <v>100</v>
      </c>
      <c r="E97" s="7"/>
      <c r="F97" s="5" t="s">
        <v>193</v>
      </c>
      <c r="G97" s="5" t="s">
        <v>49</v>
      </c>
      <c r="H97" s="5" t="s">
        <v>16</v>
      </c>
      <c r="I97" s="7">
        <f t="shared" si="6"/>
        <v>100</v>
      </c>
      <c r="J97" s="8">
        <f>IF(G97="Joia",Parametros!$B$3,IF(G97="Mágico",Parametros!$B$4,Parametros!$B$2))</f>
        <v>0.05</v>
      </c>
      <c r="K97" s="7">
        <f t="shared" si="7"/>
        <v>105</v>
      </c>
      <c r="L97" s="5"/>
    </row>
    <row r="98" spans="1:12">
      <c r="A98" s="5" t="s">
        <v>194</v>
      </c>
      <c r="B98" s="5" t="s">
        <v>195</v>
      </c>
      <c r="C98" s="6">
        <v>1</v>
      </c>
      <c r="D98" s="7">
        <v>1500</v>
      </c>
      <c r="E98" s="7"/>
      <c r="F98" s="5" t="s">
        <v>196</v>
      </c>
      <c r="G98" s="5" t="s">
        <v>197</v>
      </c>
      <c r="H98" s="5" t="s">
        <v>22</v>
      </c>
      <c r="I98" s="7">
        <f t="shared" si="6"/>
        <v>1500</v>
      </c>
      <c r="J98" s="8">
        <f>IF(G98="Joia",Parametros!$B$3,IF(G98="Mágico",Parametros!$B$4,Parametros!$B$2))</f>
        <v>0.15</v>
      </c>
      <c r="K98" s="7">
        <f t="shared" si="7"/>
        <v>0</v>
      </c>
      <c r="L98" s="5"/>
    </row>
  </sheetData>
  <conditionalFormatting sqref="H2:H98">
    <cfRule type="expression" dxfId="1" priority="1">
      <formula>H2="Sim"</formula>
    </cfRule>
    <cfRule type="expression" dxfId="0" priority="2">
      <formula>H2="Não"</formula>
    </cfRule>
  </conditionalFormatting>
  <dataValidations count="1">
    <dataValidation type="list" sqref="H2:H98" xr:uid="{00000000-0002-0000-0000-000000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4.25"/>
  <cols>
    <col min="1" max="1" width="42" customWidth="1"/>
    <col min="2" max="2" width="20" customWidth="1"/>
    <col min="3" max="4" width="16" customWidth="1"/>
  </cols>
  <sheetData>
    <row r="1" spans="1:4" ht="26.1" customHeight="1">
      <c r="A1" s="14" t="s">
        <v>198</v>
      </c>
      <c r="B1" s="14"/>
      <c r="C1" s="14"/>
      <c r="D1" s="14"/>
    </row>
    <row r="3" spans="1:4" ht="15">
      <c r="A3" s="9" t="s">
        <v>199</v>
      </c>
      <c r="B3" s="9" t="s">
        <v>200</v>
      </c>
    </row>
    <row r="4" spans="1:4" ht="15">
      <c r="A4" s="10" t="s">
        <v>201</v>
      </c>
      <c r="B4" s="11">
        <f>SUM(Calculos!D2:D104)</f>
        <v>2604.6</v>
      </c>
    </row>
    <row r="5" spans="1:4" ht="15">
      <c r="A5" s="10" t="s">
        <v>202</v>
      </c>
      <c r="B5" s="11">
        <f>SUM(Calculos!E2:E104)</f>
        <v>1771.0365000000002</v>
      </c>
    </row>
    <row r="6" spans="1:4" ht="15">
      <c r="A6" s="12" t="s">
        <v>203</v>
      </c>
      <c r="B6" s="13">
        <f>B4+B5</f>
        <v>4375.6365000000005</v>
      </c>
    </row>
    <row r="7" spans="1:4" ht="15">
      <c r="A7" s="12" t="s">
        <v>204</v>
      </c>
      <c r="B7" s="13">
        <f>B6/Parametros!$B$5</f>
        <v>1458.5455000000002</v>
      </c>
    </row>
    <row r="8" spans="1:4" ht="15">
      <c r="A8" s="10" t="s">
        <v>205</v>
      </c>
      <c r="B8" s="11">
        <f>SUM(Calculos!F2:F104)</f>
        <v>5623</v>
      </c>
    </row>
    <row r="10" spans="1:4" ht="15">
      <c r="A10" s="1" t="s">
        <v>206</v>
      </c>
      <c r="B10" s="1" t="s">
        <v>207</v>
      </c>
    </row>
    <row r="11" spans="1:4">
      <c r="A11" t="s">
        <v>208</v>
      </c>
      <c r="B11" s="11">
        <f>$B$7</f>
        <v>1458.5455000000002</v>
      </c>
    </row>
    <row r="12" spans="1:4">
      <c r="A12" t="s">
        <v>209</v>
      </c>
      <c r="B12" s="11">
        <f>$B$7</f>
        <v>1458.5455000000002</v>
      </c>
    </row>
    <row r="13" spans="1:4">
      <c r="A13" t="s">
        <v>210</v>
      </c>
      <c r="B13" s="11">
        <f>$B$7</f>
        <v>1458.5455000000002</v>
      </c>
    </row>
    <row r="15" spans="1:4" ht="15">
      <c r="A15" s="15" t="s">
        <v>211</v>
      </c>
      <c r="B15" s="15"/>
      <c r="C15" s="15"/>
      <c r="D15" s="15"/>
    </row>
    <row r="16" spans="1:4">
      <c r="A16" s="16" t="s">
        <v>212</v>
      </c>
      <c r="B16" s="16"/>
      <c r="C16" s="16"/>
      <c r="D16" s="16"/>
    </row>
    <row r="17" spans="1:4">
      <c r="A17" s="16" t="s">
        <v>213</v>
      </c>
      <c r="B17" s="16"/>
      <c r="C17" s="16"/>
      <c r="D17" s="16"/>
    </row>
    <row r="18" spans="1:4">
      <c r="A18" s="16" t="s">
        <v>214</v>
      </c>
      <c r="B18" s="16"/>
      <c r="C18" s="16"/>
      <c r="D18" s="16"/>
    </row>
    <row r="19" spans="1:4">
      <c r="A19" s="16" t="s">
        <v>215</v>
      </c>
      <c r="B19" s="16"/>
      <c r="C19" s="16"/>
      <c r="D19" s="16"/>
    </row>
  </sheetData>
  <mergeCells count="6">
    <mergeCell ref="A19:D19"/>
    <mergeCell ref="A1:D1"/>
    <mergeCell ref="A15:D15"/>
    <mergeCell ref="A16:D16"/>
    <mergeCell ref="A17:D17"/>
    <mergeCell ref="A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25"/>
  <cols>
    <col min="1" max="1" width="25" customWidth="1"/>
    <col min="2" max="2" width="4.5" customWidth="1"/>
  </cols>
  <sheetData>
    <row r="1" spans="1:2" ht="15">
      <c r="A1" s="2" t="s">
        <v>216</v>
      </c>
      <c r="B1" s="2" t="s">
        <v>217</v>
      </c>
    </row>
    <row r="2" spans="1:2">
      <c r="A2" t="s">
        <v>218</v>
      </c>
      <c r="B2" s="3">
        <v>0.15</v>
      </c>
    </row>
    <row r="3" spans="1:2">
      <c r="A3" t="s">
        <v>219</v>
      </c>
      <c r="B3" s="3">
        <v>0.05</v>
      </c>
    </row>
    <row r="4" spans="1:2">
      <c r="A4" t="s">
        <v>220</v>
      </c>
      <c r="B4" s="3">
        <v>0.15</v>
      </c>
    </row>
    <row r="5" spans="1:2">
      <c r="A5" t="s">
        <v>221</v>
      </c>
      <c r="B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25"/>
  <sheetData>
    <row r="1" spans="1:2">
      <c r="A1" t="s">
        <v>216</v>
      </c>
      <c r="B1" t="s">
        <v>217</v>
      </c>
    </row>
    <row r="2" spans="1:2">
      <c r="A2" t="s">
        <v>218</v>
      </c>
      <c r="B2">
        <v>0.15</v>
      </c>
    </row>
    <row r="3" spans="1:2">
      <c r="A3" t="s">
        <v>219</v>
      </c>
      <c r="B3">
        <v>0.05</v>
      </c>
    </row>
    <row r="4" spans="1:2">
      <c r="A4" t="s">
        <v>220</v>
      </c>
      <c r="B4">
        <v>0.15</v>
      </c>
    </row>
    <row r="5" spans="1:2">
      <c r="A5" t="s">
        <v>221</v>
      </c>
      <c r="B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"/>
  <sheetViews>
    <sheetView workbookViewId="0"/>
  </sheetViews>
  <sheetFormatPr defaultRowHeight="14.25"/>
  <cols>
    <col min="1" max="6" width="14" customWidth="1"/>
  </cols>
  <sheetData>
    <row r="1" spans="1:6" ht="15">
      <c r="A1" s="9" t="s">
        <v>6</v>
      </c>
      <c r="B1" s="9" t="s">
        <v>7</v>
      </c>
      <c r="C1" s="9" t="s">
        <v>222</v>
      </c>
      <c r="D1" s="9" t="s">
        <v>223</v>
      </c>
      <c r="E1" s="9" t="s">
        <v>224</v>
      </c>
      <c r="F1" s="9" t="s">
        <v>225</v>
      </c>
    </row>
    <row r="2" spans="1:6">
      <c r="A2" t="s">
        <v>15</v>
      </c>
      <c r="B2" t="s">
        <v>16</v>
      </c>
      <c r="C2" s="11">
        <v>25</v>
      </c>
      <c r="D2" s="11">
        <v>0</v>
      </c>
      <c r="E2" s="11">
        <v>28.749999999999996</v>
      </c>
      <c r="F2" s="11">
        <v>0</v>
      </c>
    </row>
    <row r="3" spans="1:6">
      <c r="A3" t="s">
        <v>15</v>
      </c>
      <c r="B3" t="s">
        <v>16</v>
      </c>
      <c r="C3" s="11">
        <v>10</v>
      </c>
      <c r="D3" s="11">
        <v>0</v>
      </c>
      <c r="E3" s="11">
        <v>11.5</v>
      </c>
      <c r="F3" s="11">
        <v>0</v>
      </c>
    </row>
    <row r="4" spans="1:6">
      <c r="A4" t="s">
        <v>21</v>
      </c>
      <c r="B4" t="s">
        <v>22</v>
      </c>
      <c r="C4" s="11">
        <v>4.3</v>
      </c>
      <c r="D4" s="11">
        <v>4.3</v>
      </c>
      <c r="E4" s="11">
        <v>0</v>
      </c>
      <c r="F4" s="11">
        <v>0</v>
      </c>
    </row>
    <row r="5" spans="1:6">
      <c r="A5" t="s">
        <v>21</v>
      </c>
      <c r="B5" t="s">
        <v>22</v>
      </c>
      <c r="C5" s="11">
        <v>9</v>
      </c>
      <c r="D5" s="11">
        <v>9</v>
      </c>
      <c r="E5" s="11">
        <v>0</v>
      </c>
      <c r="F5" s="11">
        <v>0</v>
      </c>
    </row>
    <row r="6" spans="1:6">
      <c r="A6" t="s">
        <v>27</v>
      </c>
      <c r="B6" t="s">
        <v>22</v>
      </c>
      <c r="C6" s="11">
        <v>150</v>
      </c>
      <c r="D6" s="11">
        <v>0</v>
      </c>
      <c r="E6" s="11">
        <v>0</v>
      </c>
      <c r="F6" s="11">
        <v>150</v>
      </c>
    </row>
    <row r="7" spans="1:6">
      <c r="A7" t="s">
        <v>32</v>
      </c>
      <c r="B7" t="s">
        <v>22</v>
      </c>
      <c r="C7" s="11">
        <v>25</v>
      </c>
      <c r="D7" s="11">
        <v>0</v>
      </c>
      <c r="E7" s="11">
        <v>0</v>
      </c>
      <c r="F7" s="11">
        <v>25</v>
      </c>
    </row>
    <row r="8" spans="1:6">
      <c r="A8" t="s">
        <v>15</v>
      </c>
      <c r="B8" t="s">
        <v>16</v>
      </c>
      <c r="C8" s="11">
        <v>5</v>
      </c>
      <c r="D8" s="11">
        <v>0</v>
      </c>
      <c r="E8" s="11">
        <v>5.75</v>
      </c>
      <c r="F8" s="11">
        <v>0</v>
      </c>
    </row>
    <row r="9" spans="1:6">
      <c r="A9" t="s">
        <v>15</v>
      </c>
      <c r="B9" t="s">
        <v>16</v>
      </c>
      <c r="C9" s="11">
        <v>12.5</v>
      </c>
      <c r="D9" s="11">
        <v>0</v>
      </c>
      <c r="E9" s="11">
        <v>14.374999999999998</v>
      </c>
      <c r="F9" s="11">
        <v>0</v>
      </c>
    </row>
    <row r="10" spans="1:6">
      <c r="A10" t="s">
        <v>15</v>
      </c>
      <c r="B10" t="s">
        <v>16</v>
      </c>
      <c r="C10" s="11">
        <v>0.8</v>
      </c>
      <c r="D10" s="11">
        <v>0</v>
      </c>
      <c r="E10" s="11">
        <v>0.91999999999999993</v>
      </c>
      <c r="F10" s="11">
        <v>0</v>
      </c>
    </row>
    <row r="11" spans="1:6">
      <c r="A11" t="s">
        <v>27</v>
      </c>
      <c r="B11" t="s">
        <v>22</v>
      </c>
      <c r="C11" s="11">
        <v>500</v>
      </c>
      <c r="D11" s="11">
        <v>0</v>
      </c>
      <c r="E11" s="11">
        <v>0</v>
      </c>
      <c r="F11" s="11">
        <v>500</v>
      </c>
    </row>
    <row r="12" spans="1:6">
      <c r="A12" t="s">
        <v>27</v>
      </c>
      <c r="B12" t="s">
        <v>22</v>
      </c>
      <c r="C12" s="11">
        <v>300</v>
      </c>
      <c r="D12" s="11">
        <v>0</v>
      </c>
      <c r="E12" s="11">
        <v>0</v>
      </c>
      <c r="F12" s="11">
        <v>300</v>
      </c>
    </row>
    <row r="13" spans="1:6">
      <c r="A13" t="s">
        <v>27</v>
      </c>
      <c r="B13" t="s">
        <v>22</v>
      </c>
      <c r="C13" s="11">
        <v>150</v>
      </c>
      <c r="D13" s="11">
        <v>0</v>
      </c>
      <c r="E13" s="11">
        <v>0</v>
      </c>
      <c r="F13" s="11">
        <v>150</v>
      </c>
    </row>
    <row r="14" spans="1:6">
      <c r="A14" t="s">
        <v>15</v>
      </c>
      <c r="B14" t="s">
        <v>16</v>
      </c>
      <c r="C14" s="11">
        <v>0.01</v>
      </c>
      <c r="D14" s="11">
        <v>0</v>
      </c>
      <c r="E14" s="11">
        <v>1.15E-2</v>
      </c>
      <c r="F14" s="11">
        <v>0</v>
      </c>
    </row>
    <row r="15" spans="1:6">
      <c r="A15" t="s">
        <v>49</v>
      </c>
      <c r="B15" t="s">
        <v>16</v>
      </c>
      <c r="C15" s="11">
        <v>90</v>
      </c>
      <c r="D15" s="11">
        <v>0</v>
      </c>
      <c r="E15" s="11">
        <v>94.5</v>
      </c>
      <c r="F15" s="11">
        <v>0</v>
      </c>
    </row>
    <row r="16" spans="1:6">
      <c r="A16" t="s">
        <v>21</v>
      </c>
      <c r="B16" t="s">
        <v>22</v>
      </c>
      <c r="C16" s="11">
        <v>31.2</v>
      </c>
      <c r="D16" s="11">
        <v>31.2</v>
      </c>
      <c r="E16" s="11">
        <v>0</v>
      </c>
      <c r="F16" s="11">
        <v>0</v>
      </c>
    </row>
    <row r="17" spans="1:6">
      <c r="A17" t="s">
        <v>21</v>
      </c>
      <c r="B17" t="s">
        <v>22</v>
      </c>
      <c r="C17" s="11">
        <v>68</v>
      </c>
      <c r="D17" s="11">
        <v>68</v>
      </c>
      <c r="E17" s="11">
        <v>0</v>
      </c>
      <c r="F17" s="11">
        <v>0</v>
      </c>
    </row>
    <row r="18" spans="1:6">
      <c r="A18" t="s">
        <v>21</v>
      </c>
      <c r="B18" t="s">
        <v>22</v>
      </c>
      <c r="C18" s="11">
        <v>17</v>
      </c>
      <c r="D18" s="11">
        <v>17</v>
      </c>
      <c r="E18" s="11">
        <v>0</v>
      </c>
      <c r="F18" s="11">
        <v>0</v>
      </c>
    </row>
    <row r="19" spans="1:6">
      <c r="A19" t="s">
        <v>57</v>
      </c>
      <c r="B19" t="s">
        <v>22</v>
      </c>
      <c r="C19" s="11">
        <v>25</v>
      </c>
      <c r="D19" s="11">
        <v>0</v>
      </c>
      <c r="E19" s="11">
        <v>0</v>
      </c>
      <c r="F19" s="11">
        <v>25</v>
      </c>
    </row>
    <row r="20" spans="1:6">
      <c r="A20" t="s">
        <v>15</v>
      </c>
      <c r="B20" t="s">
        <v>16</v>
      </c>
      <c r="C20" s="11">
        <v>4</v>
      </c>
      <c r="D20" s="11">
        <v>0</v>
      </c>
      <c r="E20" s="11">
        <v>4.5999999999999996</v>
      </c>
      <c r="F20" s="11">
        <v>0</v>
      </c>
    </row>
    <row r="21" spans="1:6">
      <c r="A21" t="s">
        <v>15</v>
      </c>
      <c r="B21" t="s">
        <v>16</v>
      </c>
      <c r="C21" s="11">
        <v>50</v>
      </c>
      <c r="D21" s="11">
        <v>0</v>
      </c>
      <c r="E21" s="11">
        <v>57.499999999999993</v>
      </c>
      <c r="F21" s="11">
        <v>0</v>
      </c>
    </row>
    <row r="22" spans="1:6">
      <c r="A22" t="s">
        <v>15</v>
      </c>
      <c r="B22" t="s">
        <v>16</v>
      </c>
      <c r="C22" s="11">
        <v>1</v>
      </c>
      <c r="D22" s="11">
        <v>0</v>
      </c>
      <c r="E22" s="11">
        <v>1.1499999999999999</v>
      </c>
      <c r="F22" s="11">
        <v>0</v>
      </c>
    </row>
    <row r="23" spans="1:6">
      <c r="A23" t="s">
        <v>49</v>
      </c>
      <c r="B23" t="s">
        <v>16</v>
      </c>
      <c r="C23" s="11">
        <v>75</v>
      </c>
      <c r="D23" s="11">
        <v>0</v>
      </c>
      <c r="E23" s="11">
        <v>78.75</v>
      </c>
      <c r="F23" s="11">
        <v>0</v>
      </c>
    </row>
    <row r="24" spans="1:6">
      <c r="A24" t="s">
        <v>15</v>
      </c>
      <c r="B24" t="s">
        <v>16</v>
      </c>
      <c r="C24" s="11">
        <v>4</v>
      </c>
      <c r="D24" s="11">
        <v>0</v>
      </c>
      <c r="E24" s="11">
        <v>4.5999999999999996</v>
      </c>
      <c r="F24" s="11">
        <v>0</v>
      </c>
    </row>
    <row r="25" spans="1:6">
      <c r="A25" t="s">
        <v>15</v>
      </c>
      <c r="B25" t="s">
        <v>16</v>
      </c>
      <c r="C25" s="11">
        <v>0.5</v>
      </c>
      <c r="D25" s="11">
        <v>0</v>
      </c>
      <c r="E25" s="11">
        <v>0.57499999999999996</v>
      </c>
      <c r="F25" s="11">
        <v>0</v>
      </c>
    </row>
    <row r="26" spans="1:6">
      <c r="A26" t="s">
        <v>21</v>
      </c>
      <c r="B26" t="s">
        <v>22</v>
      </c>
      <c r="C26" s="11">
        <v>50</v>
      </c>
      <c r="D26" s="11">
        <v>50</v>
      </c>
      <c r="E26" s="11">
        <v>0</v>
      </c>
      <c r="F26" s="11">
        <v>0</v>
      </c>
    </row>
    <row r="27" spans="1:6">
      <c r="A27" t="s">
        <v>15</v>
      </c>
      <c r="B27" t="s">
        <v>16</v>
      </c>
      <c r="C27" s="11">
        <v>25</v>
      </c>
      <c r="D27" s="11">
        <v>0</v>
      </c>
      <c r="E27" s="11">
        <v>28.749999999999996</v>
      </c>
      <c r="F27" s="11">
        <v>0</v>
      </c>
    </row>
    <row r="28" spans="1:6">
      <c r="A28" t="s">
        <v>15</v>
      </c>
      <c r="B28" t="s">
        <v>16</v>
      </c>
      <c r="C28" s="11">
        <v>25</v>
      </c>
      <c r="D28" s="11">
        <v>0</v>
      </c>
      <c r="E28" s="11">
        <v>28.749999999999996</v>
      </c>
      <c r="F28" s="11">
        <v>0</v>
      </c>
    </row>
    <row r="29" spans="1:6">
      <c r="A29" t="s">
        <v>57</v>
      </c>
      <c r="B29" t="s">
        <v>22</v>
      </c>
      <c r="C29" s="11">
        <v>0</v>
      </c>
      <c r="D29" s="11">
        <v>0</v>
      </c>
      <c r="E29" s="11">
        <v>0</v>
      </c>
      <c r="F29" s="11">
        <v>0</v>
      </c>
    </row>
    <row r="30" spans="1:6">
      <c r="A30" t="s">
        <v>73</v>
      </c>
      <c r="B30" t="s">
        <v>16</v>
      </c>
      <c r="C30" s="11">
        <v>50</v>
      </c>
      <c r="D30" s="11">
        <v>0</v>
      </c>
      <c r="E30" s="11">
        <v>57.499999999999993</v>
      </c>
      <c r="F30" s="11">
        <v>0</v>
      </c>
    </row>
    <row r="31" spans="1:6">
      <c r="A31" t="s">
        <v>15</v>
      </c>
      <c r="B31" t="s">
        <v>16</v>
      </c>
      <c r="C31" s="11">
        <v>225</v>
      </c>
      <c r="D31" s="11">
        <v>0</v>
      </c>
      <c r="E31" s="11">
        <v>258.75</v>
      </c>
      <c r="F31" s="11">
        <v>0</v>
      </c>
    </row>
    <row r="32" spans="1:6">
      <c r="A32" t="s">
        <v>15</v>
      </c>
      <c r="B32" t="s">
        <v>16</v>
      </c>
      <c r="C32" s="11">
        <v>50</v>
      </c>
      <c r="D32" s="11">
        <v>0</v>
      </c>
      <c r="E32" s="11">
        <v>57.499999999999993</v>
      </c>
      <c r="F32" s="11">
        <v>0</v>
      </c>
    </row>
    <row r="33" spans="1:6">
      <c r="A33" t="s">
        <v>15</v>
      </c>
      <c r="B33" t="s">
        <v>16</v>
      </c>
      <c r="C33" s="11">
        <v>0.5</v>
      </c>
      <c r="D33" s="11">
        <v>0</v>
      </c>
      <c r="E33" s="11">
        <v>0.57499999999999996</v>
      </c>
      <c r="F33" s="11">
        <v>0</v>
      </c>
    </row>
    <row r="34" spans="1:6">
      <c r="A34" t="s">
        <v>32</v>
      </c>
      <c r="B34" t="s">
        <v>22</v>
      </c>
      <c r="C34" s="11">
        <v>1</v>
      </c>
      <c r="D34" s="11">
        <v>0</v>
      </c>
      <c r="E34" s="11">
        <v>0</v>
      </c>
      <c r="F34" s="11">
        <v>1</v>
      </c>
    </row>
    <row r="35" spans="1:6">
      <c r="A35" t="s">
        <v>15</v>
      </c>
      <c r="B35" t="s">
        <v>16</v>
      </c>
      <c r="C35" s="11">
        <v>50</v>
      </c>
      <c r="D35" s="11">
        <v>0</v>
      </c>
      <c r="E35" s="11">
        <v>57.499999999999993</v>
      </c>
      <c r="F35" s="11">
        <v>0</v>
      </c>
    </row>
    <row r="36" spans="1:6">
      <c r="A36" t="s">
        <v>15</v>
      </c>
      <c r="B36" t="s">
        <v>16</v>
      </c>
      <c r="C36" s="11">
        <v>75</v>
      </c>
      <c r="D36" s="11">
        <v>0</v>
      </c>
      <c r="E36" s="11">
        <v>86.25</v>
      </c>
      <c r="F36" s="11">
        <v>0</v>
      </c>
    </row>
    <row r="37" spans="1:6">
      <c r="A37" t="s">
        <v>15</v>
      </c>
      <c r="B37" t="s">
        <v>16</v>
      </c>
      <c r="C37" s="11">
        <v>1</v>
      </c>
      <c r="D37" s="11">
        <v>0</v>
      </c>
      <c r="E37" s="11">
        <v>1.1499999999999999</v>
      </c>
      <c r="F37" s="11">
        <v>0</v>
      </c>
    </row>
    <row r="38" spans="1:6">
      <c r="A38" t="s">
        <v>49</v>
      </c>
      <c r="B38" t="s">
        <v>16</v>
      </c>
      <c r="C38" s="11">
        <v>20</v>
      </c>
      <c r="D38" s="11">
        <v>0</v>
      </c>
      <c r="E38" s="11">
        <v>21</v>
      </c>
      <c r="F38" s="11">
        <v>0</v>
      </c>
    </row>
    <row r="39" spans="1:6">
      <c r="A39" t="s">
        <v>73</v>
      </c>
      <c r="B39" t="s">
        <v>16</v>
      </c>
      <c r="C39" s="11">
        <v>5</v>
      </c>
      <c r="D39" s="11">
        <v>0</v>
      </c>
      <c r="E39" s="11">
        <v>5.75</v>
      </c>
      <c r="F39" s="11">
        <v>0</v>
      </c>
    </row>
    <row r="40" spans="1:6">
      <c r="A40" t="s">
        <v>73</v>
      </c>
      <c r="B40" t="s">
        <v>16</v>
      </c>
      <c r="C40" s="11">
        <v>24</v>
      </c>
      <c r="D40" s="11">
        <v>0</v>
      </c>
      <c r="E40" s="11">
        <v>27.599999999999998</v>
      </c>
      <c r="F40" s="11">
        <v>0</v>
      </c>
    </row>
    <row r="41" spans="1:6">
      <c r="A41" t="s">
        <v>94</v>
      </c>
      <c r="B41" t="s">
        <v>22</v>
      </c>
      <c r="C41" s="11">
        <v>5</v>
      </c>
      <c r="D41" s="11">
        <v>0</v>
      </c>
      <c r="E41" s="11">
        <v>0</v>
      </c>
      <c r="F41" s="11">
        <v>5</v>
      </c>
    </row>
    <row r="42" spans="1:6">
      <c r="A42" t="s">
        <v>27</v>
      </c>
      <c r="B42" t="s">
        <v>22</v>
      </c>
      <c r="C42" s="11">
        <v>50</v>
      </c>
      <c r="D42" s="11">
        <v>0</v>
      </c>
      <c r="E42" s="11">
        <v>0</v>
      </c>
      <c r="F42" s="11">
        <v>50</v>
      </c>
    </row>
    <row r="43" spans="1:6">
      <c r="A43" t="s">
        <v>27</v>
      </c>
      <c r="B43" t="s">
        <v>22</v>
      </c>
      <c r="C43" s="11">
        <v>500</v>
      </c>
      <c r="D43" s="11">
        <v>0</v>
      </c>
      <c r="E43" s="11">
        <v>0</v>
      </c>
      <c r="F43" s="11">
        <v>500</v>
      </c>
    </row>
    <row r="44" spans="1:6">
      <c r="A44" t="s">
        <v>27</v>
      </c>
      <c r="B44" t="s">
        <v>22</v>
      </c>
      <c r="C44" s="11">
        <v>50</v>
      </c>
      <c r="D44" s="11">
        <v>0</v>
      </c>
      <c r="E44" s="11">
        <v>0</v>
      </c>
      <c r="F44" s="11">
        <v>50</v>
      </c>
    </row>
    <row r="45" spans="1:6">
      <c r="A45" t="s">
        <v>27</v>
      </c>
      <c r="B45" t="s">
        <v>22</v>
      </c>
      <c r="C45" s="11">
        <v>50</v>
      </c>
      <c r="D45" s="11">
        <v>0</v>
      </c>
      <c r="E45" s="11">
        <v>0</v>
      </c>
      <c r="F45" s="11">
        <v>50</v>
      </c>
    </row>
    <row r="46" spans="1:6">
      <c r="A46" t="s">
        <v>27</v>
      </c>
      <c r="B46" t="s">
        <v>22</v>
      </c>
      <c r="C46" s="11">
        <v>50</v>
      </c>
      <c r="D46" s="11">
        <v>0</v>
      </c>
      <c r="E46" s="11">
        <v>0</v>
      </c>
      <c r="F46" s="11">
        <v>50</v>
      </c>
    </row>
    <row r="47" spans="1:6">
      <c r="A47" t="s">
        <v>27</v>
      </c>
      <c r="B47" t="s">
        <v>22</v>
      </c>
      <c r="C47" s="11">
        <v>600</v>
      </c>
      <c r="D47" s="11">
        <v>0</v>
      </c>
      <c r="E47" s="11">
        <v>0</v>
      </c>
      <c r="F47" s="11">
        <v>600</v>
      </c>
    </row>
    <row r="48" spans="1:6">
      <c r="A48" t="s">
        <v>21</v>
      </c>
      <c r="B48" t="s">
        <v>22</v>
      </c>
      <c r="C48" s="11">
        <v>35</v>
      </c>
      <c r="D48" s="11">
        <v>35</v>
      </c>
      <c r="E48" s="11">
        <v>0</v>
      </c>
      <c r="F48" s="11">
        <v>0</v>
      </c>
    </row>
    <row r="49" spans="1:6">
      <c r="A49" t="s">
        <v>21</v>
      </c>
      <c r="B49" t="s">
        <v>22</v>
      </c>
      <c r="C49" s="11">
        <v>22</v>
      </c>
      <c r="D49" s="11">
        <v>22</v>
      </c>
      <c r="E49" s="11">
        <v>0</v>
      </c>
      <c r="F49" s="11">
        <v>0</v>
      </c>
    </row>
    <row r="50" spans="1:6">
      <c r="A50" t="s">
        <v>21</v>
      </c>
      <c r="B50" t="s">
        <v>22</v>
      </c>
      <c r="C50" s="11">
        <v>50</v>
      </c>
      <c r="D50" s="11">
        <v>50</v>
      </c>
      <c r="E50" s="11">
        <v>0</v>
      </c>
      <c r="F50" s="11">
        <v>0</v>
      </c>
    </row>
    <row r="51" spans="1:6">
      <c r="A51" t="s">
        <v>27</v>
      </c>
      <c r="B51" t="s">
        <v>22</v>
      </c>
      <c r="C51" s="11">
        <v>50</v>
      </c>
      <c r="D51" s="11">
        <v>0</v>
      </c>
      <c r="E51" s="11">
        <v>0</v>
      </c>
      <c r="F51" s="11">
        <v>50</v>
      </c>
    </row>
    <row r="52" spans="1:6">
      <c r="A52" t="s">
        <v>32</v>
      </c>
      <c r="B52" t="s">
        <v>22</v>
      </c>
      <c r="C52" s="11">
        <v>125</v>
      </c>
      <c r="D52" s="11">
        <v>0</v>
      </c>
      <c r="E52" s="11">
        <v>0</v>
      </c>
      <c r="F52" s="11">
        <v>125</v>
      </c>
    </row>
    <row r="53" spans="1:6">
      <c r="A53" t="s">
        <v>49</v>
      </c>
      <c r="B53" t="s">
        <v>16</v>
      </c>
      <c r="C53" s="11">
        <v>15</v>
      </c>
      <c r="D53" s="11">
        <v>0</v>
      </c>
      <c r="E53" s="11">
        <v>15.75</v>
      </c>
      <c r="F53" s="11">
        <v>0</v>
      </c>
    </row>
    <row r="54" spans="1:6">
      <c r="A54" t="s">
        <v>57</v>
      </c>
      <c r="B54" t="s">
        <v>22</v>
      </c>
      <c r="C54" s="11">
        <v>15</v>
      </c>
      <c r="D54" s="11">
        <v>0</v>
      </c>
      <c r="E54" s="11">
        <v>0</v>
      </c>
      <c r="F54" s="11">
        <v>15</v>
      </c>
    </row>
    <row r="55" spans="1:6">
      <c r="A55" t="s">
        <v>27</v>
      </c>
      <c r="B55" t="s">
        <v>22</v>
      </c>
      <c r="C55" s="11">
        <v>50</v>
      </c>
      <c r="D55" s="11">
        <v>0</v>
      </c>
      <c r="E55" s="11">
        <v>0</v>
      </c>
      <c r="F55" s="11">
        <v>50</v>
      </c>
    </row>
    <row r="56" spans="1:6">
      <c r="A56" t="s">
        <v>27</v>
      </c>
      <c r="B56" t="s">
        <v>22</v>
      </c>
      <c r="C56" s="11">
        <v>100</v>
      </c>
      <c r="D56" s="11">
        <v>0</v>
      </c>
      <c r="E56" s="11">
        <v>0</v>
      </c>
      <c r="F56" s="11">
        <v>100</v>
      </c>
    </row>
    <row r="57" spans="1:6">
      <c r="A57" t="s">
        <v>27</v>
      </c>
      <c r="B57" t="s">
        <v>22</v>
      </c>
      <c r="C57" s="11">
        <v>100</v>
      </c>
      <c r="D57" s="11">
        <v>0</v>
      </c>
      <c r="E57" s="11">
        <v>0</v>
      </c>
      <c r="F57" s="11">
        <v>100</v>
      </c>
    </row>
    <row r="58" spans="1:6">
      <c r="A58" t="s">
        <v>27</v>
      </c>
      <c r="B58" t="s">
        <v>22</v>
      </c>
      <c r="C58" s="11">
        <v>100</v>
      </c>
      <c r="D58" s="11">
        <v>0</v>
      </c>
      <c r="E58" s="11">
        <v>0</v>
      </c>
      <c r="F58" s="11">
        <v>100</v>
      </c>
    </row>
    <row r="59" spans="1:6">
      <c r="A59" t="s">
        <v>49</v>
      </c>
      <c r="B59" t="s">
        <v>16</v>
      </c>
      <c r="C59" s="11">
        <v>50</v>
      </c>
      <c r="D59" s="11">
        <v>0</v>
      </c>
      <c r="E59" s="11">
        <v>52.5</v>
      </c>
      <c r="F59" s="11">
        <v>0</v>
      </c>
    </row>
    <row r="60" spans="1:6">
      <c r="A60" t="s">
        <v>15</v>
      </c>
      <c r="B60" t="s">
        <v>16</v>
      </c>
      <c r="C60" s="11">
        <v>0.2</v>
      </c>
      <c r="D60" s="11">
        <v>0</v>
      </c>
      <c r="E60" s="11">
        <v>0.22999999999999998</v>
      </c>
      <c r="F60" s="11">
        <v>0</v>
      </c>
    </row>
    <row r="61" spans="1:6">
      <c r="A61" t="s">
        <v>21</v>
      </c>
      <c r="B61" t="s">
        <v>22</v>
      </c>
      <c r="C61" s="11">
        <v>231</v>
      </c>
      <c r="D61" s="11">
        <v>231</v>
      </c>
      <c r="E61" s="11">
        <v>0</v>
      </c>
      <c r="F61" s="11">
        <v>0</v>
      </c>
    </row>
    <row r="62" spans="1:6">
      <c r="A62" t="s">
        <v>57</v>
      </c>
      <c r="B62" t="s">
        <v>22</v>
      </c>
      <c r="C62" s="11">
        <v>25</v>
      </c>
      <c r="D62" s="11">
        <v>0</v>
      </c>
      <c r="E62" s="11">
        <v>0</v>
      </c>
      <c r="F62" s="11">
        <v>25</v>
      </c>
    </row>
    <row r="63" spans="1:6">
      <c r="A63" t="s">
        <v>57</v>
      </c>
      <c r="B63" t="s">
        <v>22</v>
      </c>
      <c r="C63" s="11">
        <v>0</v>
      </c>
      <c r="D63" s="11">
        <v>0</v>
      </c>
      <c r="E63" s="11">
        <v>0</v>
      </c>
      <c r="F63" s="11">
        <v>0</v>
      </c>
    </row>
    <row r="64" spans="1:6">
      <c r="A64" t="s">
        <v>49</v>
      </c>
      <c r="B64" t="s">
        <v>16</v>
      </c>
      <c r="C64" s="11">
        <v>40</v>
      </c>
      <c r="D64" s="11">
        <v>0</v>
      </c>
      <c r="E64" s="11">
        <v>42</v>
      </c>
      <c r="F64" s="11">
        <v>0</v>
      </c>
    </row>
    <row r="65" spans="1:6">
      <c r="A65" t="s">
        <v>49</v>
      </c>
      <c r="B65" t="s">
        <v>16</v>
      </c>
      <c r="C65" s="11">
        <v>50</v>
      </c>
      <c r="D65" s="11">
        <v>0</v>
      </c>
      <c r="E65" s="11">
        <v>52.5</v>
      </c>
      <c r="F65" s="11">
        <v>0</v>
      </c>
    </row>
    <row r="66" spans="1:6">
      <c r="A66" t="s">
        <v>49</v>
      </c>
      <c r="B66" t="s">
        <v>16</v>
      </c>
      <c r="C66" s="11">
        <v>60</v>
      </c>
      <c r="D66" s="11">
        <v>0</v>
      </c>
      <c r="E66" s="11">
        <v>63</v>
      </c>
      <c r="F66" s="11">
        <v>0</v>
      </c>
    </row>
    <row r="67" spans="1:6">
      <c r="A67" t="s">
        <v>27</v>
      </c>
      <c r="B67" t="s">
        <v>22</v>
      </c>
      <c r="C67" s="11">
        <v>50</v>
      </c>
      <c r="D67" s="11">
        <v>0</v>
      </c>
      <c r="E67" s="11">
        <v>0</v>
      </c>
      <c r="F67" s="11">
        <v>50</v>
      </c>
    </row>
    <row r="68" spans="1:6">
      <c r="A68" t="s">
        <v>27</v>
      </c>
      <c r="B68" t="s">
        <v>22</v>
      </c>
      <c r="C68" s="11">
        <v>50</v>
      </c>
      <c r="D68" s="11">
        <v>0</v>
      </c>
      <c r="E68" s="11">
        <v>0</v>
      </c>
      <c r="F68" s="11">
        <v>50</v>
      </c>
    </row>
    <row r="69" spans="1:6">
      <c r="A69" t="s">
        <v>27</v>
      </c>
      <c r="B69" t="s">
        <v>22</v>
      </c>
      <c r="C69" s="11">
        <v>50</v>
      </c>
      <c r="D69" s="11">
        <v>0</v>
      </c>
      <c r="E69" s="11">
        <v>0</v>
      </c>
      <c r="F69" s="11">
        <v>50</v>
      </c>
    </row>
    <row r="70" spans="1:6">
      <c r="A70" t="s">
        <v>15</v>
      </c>
      <c r="B70" t="s">
        <v>16</v>
      </c>
      <c r="C70" s="11">
        <v>5</v>
      </c>
      <c r="D70" s="11">
        <v>0</v>
      </c>
      <c r="E70" s="11">
        <v>5.75</v>
      </c>
      <c r="F70" s="11">
        <v>0</v>
      </c>
    </row>
    <row r="71" spans="1:6">
      <c r="A71" t="s">
        <v>73</v>
      </c>
      <c r="B71" t="s">
        <v>16</v>
      </c>
      <c r="C71" s="11">
        <v>30</v>
      </c>
      <c r="D71" s="11">
        <v>0</v>
      </c>
      <c r="E71" s="11">
        <v>34.5</v>
      </c>
      <c r="F71" s="11">
        <v>0</v>
      </c>
    </row>
    <row r="72" spans="1:6">
      <c r="A72" t="s">
        <v>143</v>
      </c>
      <c r="B72" t="s">
        <v>22</v>
      </c>
      <c r="C72" s="11">
        <v>45</v>
      </c>
      <c r="D72" s="11">
        <v>0</v>
      </c>
      <c r="E72" s="11">
        <v>0</v>
      </c>
      <c r="F72" s="11">
        <v>45</v>
      </c>
    </row>
    <row r="73" spans="1:6">
      <c r="A73" t="s">
        <v>21</v>
      </c>
      <c r="B73" t="s">
        <v>22</v>
      </c>
      <c r="C73" s="11">
        <v>54</v>
      </c>
      <c r="D73" s="11">
        <v>54</v>
      </c>
      <c r="E73" s="11">
        <v>0</v>
      </c>
      <c r="F73" s="11">
        <v>0</v>
      </c>
    </row>
    <row r="74" spans="1:6">
      <c r="A74" t="s">
        <v>21</v>
      </c>
      <c r="B74" t="s">
        <v>22</v>
      </c>
      <c r="C74" s="11">
        <v>24.1</v>
      </c>
      <c r="D74" s="11">
        <v>24.1</v>
      </c>
      <c r="E74" s="11">
        <v>0</v>
      </c>
      <c r="F74" s="11">
        <v>0</v>
      </c>
    </row>
    <row r="75" spans="1:6">
      <c r="A75" t="s">
        <v>15</v>
      </c>
      <c r="B75" t="s">
        <v>16</v>
      </c>
      <c r="C75" s="11">
        <v>15</v>
      </c>
      <c r="D75" s="11">
        <v>0</v>
      </c>
      <c r="E75" s="11">
        <v>17.25</v>
      </c>
      <c r="F75" s="11">
        <v>0</v>
      </c>
    </row>
    <row r="76" spans="1:6">
      <c r="A76" t="s">
        <v>15</v>
      </c>
      <c r="B76" t="s">
        <v>16</v>
      </c>
      <c r="C76" s="11">
        <v>2</v>
      </c>
      <c r="D76" s="11">
        <v>0</v>
      </c>
      <c r="E76" s="11">
        <v>2.2999999999999998</v>
      </c>
      <c r="F76" s="11">
        <v>0</v>
      </c>
    </row>
    <row r="77" spans="1:6">
      <c r="A77" t="s">
        <v>15</v>
      </c>
      <c r="B77" t="s">
        <v>16</v>
      </c>
      <c r="C77" s="11">
        <v>3</v>
      </c>
      <c r="D77" s="11">
        <v>0</v>
      </c>
      <c r="E77" s="11">
        <v>3.4499999999999997</v>
      </c>
      <c r="F77" s="11">
        <v>0</v>
      </c>
    </row>
    <row r="78" spans="1:6">
      <c r="A78" t="s">
        <v>15</v>
      </c>
      <c r="B78" t="s">
        <v>16</v>
      </c>
      <c r="C78" s="11">
        <v>15</v>
      </c>
      <c r="D78" s="11">
        <v>0</v>
      </c>
      <c r="E78" s="11">
        <v>17.25</v>
      </c>
      <c r="F78" s="11">
        <v>0</v>
      </c>
    </row>
    <row r="79" spans="1:6">
      <c r="A79" t="s">
        <v>15</v>
      </c>
      <c r="B79" t="s">
        <v>16</v>
      </c>
      <c r="C79" s="11">
        <v>50</v>
      </c>
      <c r="D79" s="11">
        <v>0</v>
      </c>
      <c r="E79" s="11">
        <v>57.499999999999993</v>
      </c>
      <c r="F79" s="11">
        <v>0</v>
      </c>
    </row>
    <row r="80" spans="1:6">
      <c r="A80" t="s">
        <v>143</v>
      </c>
      <c r="B80" t="s">
        <v>22</v>
      </c>
      <c r="C80" s="11">
        <v>2</v>
      </c>
      <c r="D80" s="11">
        <v>0</v>
      </c>
      <c r="E80" s="11">
        <v>0</v>
      </c>
      <c r="F80" s="11">
        <v>2</v>
      </c>
    </row>
    <row r="81" spans="1:6">
      <c r="A81" t="s">
        <v>32</v>
      </c>
      <c r="B81" t="s">
        <v>22</v>
      </c>
      <c r="C81" s="11">
        <v>5</v>
      </c>
      <c r="D81" s="11">
        <v>0</v>
      </c>
      <c r="E81" s="11">
        <v>0</v>
      </c>
      <c r="F81" s="11">
        <v>5</v>
      </c>
    </row>
    <row r="82" spans="1:6">
      <c r="A82" t="s">
        <v>15</v>
      </c>
      <c r="B82" t="s">
        <v>16</v>
      </c>
      <c r="C82" s="11">
        <v>20</v>
      </c>
      <c r="D82" s="11">
        <v>0</v>
      </c>
      <c r="E82" s="11">
        <v>23</v>
      </c>
      <c r="F82" s="11">
        <v>0</v>
      </c>
    </row>
    <row r="83" spans="1:6">
      <c r="A83" t="s">
        <v>21</v>
      </c>
      <c r="B83" t="s">
        <v>22</v>
      </c>
      <c r="C83" s="11">
        <v>34</v>
      </c>
      <c r="D83" s="11">
        <v>34</v>
      </c>
      <c r="E83" s="11">
        <v>0</v>
      </c>
      <c r="F83" s="11">
        <v>0</v>
      </c>
    </row>
    <row r="84" spans="1:6">
      <c r="A84" t="s">
        <v>166</v>
      </c>
      <c r="B84" t="s">
        <v>22</v>
      </c>
      <c r="C84" s="11">
        <v>100</v>
      </c>
      <c r="D84" s="11">
        <v>0</v>
      </c>
      <c r="E84" s="11">
        <v>0</v>
      </c>
      <c r="F84" s="11">
        <v>100</v>
      </c>
    </row>
    <row r="85" spans="1:6">
      <c r="A85" t="s">
        <v>27</v>
      </c>
      <c r="B85" t="s">
        <v>22</v>
      </c>
      <c r="C85" s="11">
        <v>100</v>
      </c>
      <c r="D85" s="11">
        <v>0</v>
      </c>
      <c r="E85" s="11">
        <v>0</v>
      </c>
      <c r="F85" s="11">
        <v>100</v>
      </c>
    </row>
    <row r="86" spans="1:6">
      <c r="A86" t="s">
        <v>27</v>
      </c>
      <c r="B86" t="s">
        <v>22</v>
      </c>
      <c r="C86" s="11">
        <v>100</v>
      </c>
      <c r="D86" s="11">
        <v>0</v>
      </c>
      <c r="E86" s="11">
        <v>0</v>
      </c>
      <c r="F86" s="11">
        <v>100</v>
      </c>
    </row>
    <row r="87" spans="1:6">
      <c r="A87" t="s">
        <v>73</v>
      </c>
      <c r="B87" t="s">
        <v>16</v>
      </c>
      <c r="C87" s="11">
        <v>150</v>
      </c>
      <c r="D87" s="11">
        <v>0</v>
      </c>
      <c r="E87" s="11">
        <v>172.5</v>
      </c>
      <c r="F87" s="11">
        <v>0</v>
      </c>
    </row>
    <row r="88" spans="1:6">
      <c r="A88" t="s">
        <v>21</v>
      </c>
      <c r="B88" t="s">
        <v>22</v>
      </c>
      <c r="C88" s="11">
        <v>365</v>
      </c>
      <c r="D88" s="11">
        <v>365</v>
      </c>
      <c r="E88" s="11">
        <v>0</v>
      </c>
      <c r="F88" s="11">
        <v>0</v>
      </c>
    </row>
    <row r="89" spans="1:6">
      <c r="A89" t="s">
        <v>73</v>
      </c>
      <c r="B89" t="s">
        <v>16</v>
      </c>
      <c r="C89" s="11">
        <v>150</v>
      </c>
      <c r="D89" s="11">
        <v>0</v>
      </c>
      <c r="E89" s="11">
        <v>172.5</v>
      </c>
      <c r="F89" s="11">
        <v>0</v>
      </c>
    </row>
    <row r="90" spans="1:6">
      <c r="A90" t="s">
        <v>174</v>
      </c>
      <c r="B90" t="s">
        <v>22</v>
      </c>
      <c r="C90" s="11">
        <v>0</v>
      </c>
      <c r="D90" s="11">
        <v>0</v>
      </c>
      <c r="E90" s="11">
        <v>0</v>
      </c>
      <c r="F90" s="11">
        <v>0</v>
      </c>
    </row>
    <row r="91" spans="1:6">
      <c r="A91" t="s">
        <v>21</v>
      </c>
      <c r="B91" t="s">
        <v>22</v>
      </c>
      <c r="C91" s="11">
        <v>110</v>
      </c>
      <c r="D91" s="11">
        <v>110</v>
      </c>
      <c r="E91" s="11">
        <v>0</v>
      </c>
      <c r="F91" s="11">
        <v>0</v>
      </c>
    </row>
    <row r="92" spans="1:6">
      <c r="A92" t="s">
        <v>27</v>
      </c>
      <c r="B92" t="s">
        <v>22</v>
      </c>
      <c r="C92" s="11">
        <v>500</v>
      </c>
      <c r="D92" s="11">
        <v>0</v>
      </c>
      <c r="E92" s="11">
        <v>0</v>
      </c>
      <c r="F92" s="11">
        <v>500</v>
      </c>
    </row>
    <row r="93" spans="1:6">
      <c r="A93" t="s">
        <v>57</v>
      </c>
      <c r="B93" t="s">
        <v>22</v>
      </c>
      <c r="C93" s="11">
        <v>0</v>
      </c>
      <c r="D93" s="11">
        <v>0</v>
      </c>
      <c r="E93" s="11">
        <v>0</v>
      </c>
      <c r="F93" s="11">
        <v>0</v>
      </c>
    </row>
    <row r="94" spans="1:6">
      <c r="A94" t="s">
        <v>57</v>
      </c>
      <c r="B94" t="s">
        <v>22</v>
      </c>
      <c r="C94" s="11">
        <v>50</v>
      </c>
      <c r="D94" s="11">
        <v>0</v>
      </c>
      <c r="E94" s="11">
        <v>0</v>
      </c>
      <c r="F94" s="11">
        <v>50</v>
      </c>
    </row>
    <row r="95" spans="1:6">
      <c r="A95" t="s">
        <v>49</v>
      </c>
      <c r="B95" t="s">
        <v>22</v>
      </c>
      <c r="C95" s="11">
        <v>300</v>
      </c>
      <c r="D95" s="11">
        <v>0</v>
      </c>
      <c r="E95" s="11">
        <v>0</v>
      </c>
      <c r="F95" s="11">
        <v>300</v>
      </c>
    </row>
    <row r="96" spans="1:6">
      <c r="A96" t="s">
        <v>57</v>
      </c>
      <c r="B96" t="s">
        <v>22</v>
      </c>
      <c r="C96" s="11">
        <v>1000</v>
      </c>
      <c r="D96" s="11">
        <v>0</v>
      </c>
      <c r="E96" s="11">
        <v>0</v>
      </c>
      <c r="F96" s="11">
        <v>1000</v>
      </c>
    </row>
    <row r="97" spans="1:6">
      <c r="A97" t="s">
        <v>27</v>
      </c>
      <c r="B97" t="s">
        <v>22</v>
      </c>
      <c r="C97" s="11">
        <v>150</v>
      </c>
      <c r="D97" s="11">
        <v>0</v>
      </c>
      <c r="E97" s="11">
        <v>0</v>
      </c>
      <c r="F97" s="11">
        <v>150</v>
      </c>
    </row>
    <row r="98" spans="1:6">
      <c r="A98" t="s">
        <v>166</v>
      </c>
      <c r="B98" t="s">
        <v>22</v>
      </c>
      <c r="C98" s="11">
        <v>100</v>
      </c>
      <c r="D98" s="11">
        <v>0</v>
      </c>
      <c r="E98" s="11">
        <v>0</v>
      </c>
      <c r="F98" s="11">
        <v>100</v>
      </c>
    </row>
    <row r="99" spans="1:6">
      <c r="A99" t="s">
        <v>190</v>
      </c>
      <c r="B99" t="s">
        <v>22</v>
      </c>
      <c r="C99" s="11">
        <v>80</v>
      </c>
      <c r="D99" s="11">
        <v>0</v>
      </c>
      <c r="E99" s="11">
        <v>0</v>
      </c>
      <c r="F99" s="11">
        <v>0</v>
      </c>
    </row>
    <row r="100" spans="1:6">
      <c r="A100" t="s">
        <v>190</v>
      </c>
      <c r="B100" t="s">
        <v>22</v>
      </c>
      <c r="C100" s="11">
        <v>100</v>
      </c>
      <c r="D100" s="11">
        <v>0</v>
      </c>
      <c r="E100" s="11">
        <v>0</v>
      </c>
      <c r="F100" s="11">
        <v>0</v>
      </c>
    </row>
    <row r="101" spans="1:6">
      <c r="A101" t="s">
        <v>190</v>
      </c>
      <c r="B101" t="s">
        <v>22</v>
      </c>
      <c r="C101" s="11">
        <v>10</v>
      </c>
      <c r="D101" s="11">
        <v>0</v>
      </c>
      <c r="E101" s="11">
        <v>0</v>
      </c>
      <c r="F101" s="11">
        <v>0</v>
      </c>
    </row>
    <row r="102" spans="1:6">
      <c r="A102" t="s">
        <v>190</v>
      </c>
      <c r="B102" t="s">
        <v>22</v>
      </c>
      <c r="C102" s="11">
        <v>10</v>
      </c>
      <c r="D102" s="11">
        <v>0</v>
      </c>
      <c r="E102" s="11">
        <v>0</v>
      </c>
      <c r="F102" s="11">
        <v>0</v>
      </c>
    </row>
    <row r="103" spans="1:6">
      <c r="A103" t="s">
        <v>49</v>
      </c>
      <c r="B103" t="s">
        <v>16</v>
      </c>
      <c r="C103" s="11">
        <v>100</v>
      </c>
      <c r="D103" s="11">
        <v>0</v>
      </c>
      <c r="E103" s="11">
        <v>105</v>
      </c>
      <c r="F103" s="11">
        <v>0</v>
      </c>
    </row>
    <row r="104" spans="1:6">
      <c r="A104" t="s">
        <v>197</v>
      </c>
      <c r="B104" t="s">
        <v>22</v>
      </c>
      <c r="C104" s="11">
        <v>1500</v>
      </c>
      <c r="D104" s="11">
        <v>1500</v>
      </c>
      <c r="E104" s="11">
        <v>0</v>
      </c>
      <c r="F104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Inventário</vt:lpstr>
      <vt:lpstr>Resumo</vt:lpstr>
      <vt:lpstr>Parâmetros</vt:lpstr>
      <vt:lpstr>Parametros</vt:lpstr>
      <vt:lpstr>Calculos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Botossi</dc:creator>
  <cp:lastModifiedBy>Rafael Botossi</cp:lastModifiedBy>
  <dcterms:created xsi:type="dcterms:W3CDTF">2026-06-22T16:24:26Z</dcterms:created>
  <dcterms:modified xsi:type="dcterms:W3CDTF">2026-06-22T16:24:26Z</dcterms:modified>
</cp:coreProperties>
</file>